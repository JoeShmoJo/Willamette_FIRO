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Willamette_Flow_Frequency_2021\common_data\"/>
    </mc:Choice>
  </mc:AlternateContent>
  <xr:revisionPtr revIDLastSave="0" documentId="13_ncr:1_{A0989029-A64E-4865-95CB-2FD044C40F61}" xr6:coauthVersionLast="47" xr6:coauthVersionMax="47" xr10:uidLastSave="{00000000-0000-0000-0000-000000000000}"/>
  <bookViews>
    <workbookView xWindow="32265" yWindow="3465" windowWidth="21600" windowHeight="13185" xr2:uid="{FC561D18-D4CD-4EFF-9AED-16460E500202}"/>
  </bookViews>
  <sheets>
    <sheet name="FloodLevels" sheetId="1" r:id="rId1"/>
  </sheets>
  <definedNames>
    <definedName name="_xlnm._FilterDatabase" localSheetId="0" hidden="1">FloodLevels!$A$6:$J$30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I30" i="1"/>
  <c r="G30" i="1"/>
</calcChain>
</file>

<file path=xl/sharedStrings.xml><?xml version="1.0" encoding="utf-8"?>
<sst xmlns="http://schemas.openxmlformats.org/spreadsheetml/2006/main" count="41" uniqueCount="41">
  <si>
    <t>The top 5 lines of this sheet are reserved for descriptive comments. The headers should be in line 6 and data in row 7.</t>
  </si>
  <si>
    <t>OrderID</t>
  </si>
  <si>
    <t>Notes</t>
  </si>
  <si>
    <t>Jasper</t>
  </si>
  <si>
    <t>Goshen</t>
  </si>
  <si>
    <t>Vida</t>
  </si>
  <si>
    <t>Harrisburg</t>
  </si>
  <si>
    <t>Monroe</t>
  </si>
  <si>
    <t>Albany</t>
  </si>
  <si>
    <t>Waterloo</t>
  </si>
  <si>
    <t>Mehama</t>
  </si>
  <si>
    <t>Jefferson</t>
  </si>
  <si>
    <t>Salem</t>
  </si>
  <si>
    <t>Hills Creek</t>
  </si>
  <si>
    <t>Lookout Point</t>
  </si>
  <si>
    <t>Dexter</t>
  </si>
  <si>
    <t>Fall Creek</t>
  </si>
  <si>
    <t>Dorena</t>
  </si>
  <si>
    <t>Cottage Grove</t>
  </si>
  <si>
    <t>Cougar</t>
  </si>
  <si>
    <t>Blue River</t>
  </si>
  <si>
    <t>Fern Ridge</t>
  </si>
  <si>
    <t>Green Peter</t>
  </si>
  <si>
    <t>Foster</t>
  </si>
  <si>
    <t>Detroit</t>
  </si>
  <si>
    <t>Big Cliff</t>
  </si>
  <si>
    <t>LocationName</t>
  </si>
  <si>
    <t>Willamette Falls</t>
  </si>
  <si>
    <t>Is_Reservoir</t>
  </si>
  <si>
    <t>Normal_Evacuation_Rate</t>
  </si>
  <si>
    <t>Max_Evacuation_Rate</t>
  </si>
  <si>
    <t>Bankfull</t>
  </si>
  <si>
    <t>Flood</t>
  </si>
  <si>
    <t>MajorFlood</t>
  </si>
  <si>
    <t>Regulation_Goal</t>
  </si>
  <si>
    <t>Normal maximum release is 5,000 cfs, but if the pool is rising quickly and it looks like special curves might be necessary, increases can be made early to 7,000 cfs</t>
  </si>
  <si>
    <t>Max evac is 3700, but 4000 cfs released during Jan 2012</t>
  </si>
  <si>
    <t>No flows identified at Willamette Falls. Salem multiplied by 125%</t>
  </si>
  <si>
    <t>Data sourced from Willamette SOP, Revision 8 (January 30, 2020)</t>
  </si>
  <si>
    <t>This sheet contains flows corresponding to various flood levels</t>
  </si>
  <si>
    <t>Typically, bankfull/flood/major flood are specified at downstream control points, and max evacuation rate is specified at reservoirs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</si>
</sst>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26EC-036D-4EBF-A183-EDBA03DFA43B}">
  <dimension ref="A1:J30"/>
  <sheetViews>
    <sheetView tabSelected="1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J30" sqref="J30"/>
    </sheetView>
  </sheetViews>
  <sheetFormatPr defaultRowHeight="15" x14ac:dyDescent="0.25"/>
  <cols>
    <col min="2" max="2" width="20" customWidth="1"/>
    <col min="3" max="3" width="12.140625" customWidth="1"/>
    <col min="4" max="4" width="28.5703125" customWidth="1"/>
    <col min="5" max="6" width="23.140625" customWidth="1"/>
    <col min="7" max="9" width="12.140625" customWidth="1"/>
  </cols>
  <sheetData>
    <row r="1" spans="1:10" x14ac:dyDescent="0.25">
      <c r="A1" t="s">
        <v>0</v>
      </c>
    </row>
    <row r="2" spans="1:10" x14ac:dyDescent="0.25">
      <c r="A2" t="s">
        <v>39</v>
      </c>
    </row>
    <row r="3" spans="1:10" x14ac:dyDescent="0.25">
      <c r="A3" t="s">
        <v>40</v>
      </c>
    </row>
    <row r="4" spans="1:10" x14ac:dyDescent="0.25">
      <c r="A4" t="s">
        <v>38</v>
      </c>
    </row>
    <row r="6" spans="1:10" x14ac:dyDescent="0.25">
      <c r="A6" t="s">
        <v>1</v>
      </c>
      <c r="B6" t="s">
        <v>26</v>
      </c>
      <c r="C6" t="s">
        <v>28</v>
      </c>
      <c r="D6" t="s">
        <v>29</v>
      </c>
      <c r="E6" t="s">
        <v>30</v>
      </c>
      <c r="F6" t="s">
        <v>34</v>
      </c>
      <c r="G6" t="s">
        <v>31</v>
      </c>
      <c r="H6" t="s">
        <v>32</v>
      </c>
      <c r="I6" t="s">
        <v>33</v>
      </c>
      <c r="J6" t="s">
        <v>2</v>
      </c>
    </row>
    <row r="7" spans="1:10" x14ac:dyDescent="0.25">
      <c r="A7">
        <v>1</v>
      </c>
      <c r="B7" s="1" t="s">
        <v>13</v>
      </c>
      <c r="C7" t="b">
        <v>1</v>
      </c>
      <c r="D7">
        <v>6000</v>
      </c>
      <c r="E7">
        <v>8000</v>
      </c>
    </row>
    <row r="8" spans="1:10" x14ac:dyDescent="0.25">
      <c r="A8">
        <v>2</v>
      </c>
      <c r="B8" t="s">
        <v>14</v>
      </c>
      <c r="C8" t="b">
        <v>1</v>
      </c>
      <c r="D8">
        <v>12000</v>
      </c>
      <c r="E8">
        <v>15000</v>
      </c>
    </row>
    <row r="9" spans="1:10" x14ac:dyDescent="0.25">
      <c r="A9">
        <v>3</v>
      </c>
      <c r="B9" t="s">
        <v>15</v>
      </c>
      <c r="C9" t="b">
        <v>1</v>
      </c>
      <c r="D9">
        <v>12000</v>
      </c>
      <c r="E9">
        <v>15000</v>
      </c>
    </row>
    <row r="10" spans="1:10" x14ac:dyDescent="0.25">
      <c r="A10">
        <v>4</v>
      </c>
      <c r="B10" t="s">
        <v>16</v>
      </c>
      <c r="C10" t="b">
        <v>1</v>
      </c>
      <c r="D10">
        <v>3800</v>
      </c>
      <c r="E10">
        <v>4500</v>
      </c>
    </row>
    <row r="11" spans="1:10" x14ac:dyDescent="0.25">
      <c r="A11">
        <v>5</v>
      </c>
      <c r="B11" t="s">
        <v>3</v>
      </c>
      <c r="C11" t="b">
        <v>0</v>
      </c>
      <c r="G11">
        <v>20000</v>
      </c>
      <c r="H11">
        <v>23000</v>
      </c>
      <c r="I11">
        <v>65200</v>
      </c>
    </row>
    <row r="12" spans="1:10" x14ac:dyDescent="0.25">
      <c r="A12">
        <v>6</v>
      </c>
      <c r="B12" t="s">
        <v>17</v>
      </c>
      <c r="C12" t="b">
        <v>1</v>
      </c>
      <c r="D12">
        <v>4000</v>
      </c>
      <c r="E12">
        <v>7000</v>
      </c>
      <c r="J12" t="s">
        <v>35</v>
      </c>
    </row>
    <row r="13" spans="1:10" x14ac:dyDescent="0.25">
      <c r="A13">
        <v>7</v>
      </c>
      <c r="B13" t="s">
        <v>18</v>
      </c>
      <c r="C13" t="b">
        <v>1</v>
      </c>
      <c r="D13">
        <v>2500</v>
      </c>
      <c r="E13">
        <v>3000</v>
      </c>
    </row>
    <row r="14" spans="1:10" x14ac:dyDescent="0.25">
      <c r="A14">
        <v>8</v>
      </c>
      <c r="B14" t="s">
        <v>4</v>
      </c>
      <c r="C14" t="b">
        <v>0</v>
      </c>
      <c r="G14">
        <v>12100</v>
      </c>
      <c r="H14">
        <v>14900</v>
      </c>
      <c r="I14">
        <v>41000</v>
      </c>
    </row>
    <row r="15" spans="1:10" x14ac:dyDescent="0.25">
      <c r="A15">
        <v>9</v>
      </c>
      <c r="B15" t="s">
        <v>19</v>
      </c>
      <c r="C15" t="b">
        <v>1</v>
      </c>
      <c r="D15">
        <v>5000</v>
      </c>
      <c r="E15">
        <v>6500</v>
      </c>
    </row>
    <row r="16" spans="1:10" x14ac:dyDescent="0.25">
      <c r="A16">
        <v>10</v>
      </c>
      <c r="B16" t="s">
        <v>20</v>
      </c>
      <c r="C16" t="b">
        <v>1</v>
      </c>
      <c r="D16">
        <v>3000</v>
      </c>
      <c r="E16">
        <v>4000</v>
      </c>
      <c r="J16" t="s">
        <v>36</v>
      </c>
    </row>
    <row r="17" spans="1:10" x14ac:dyDescent="0.25">
      <c r="A17">
        <v>11</v>
      </c>
      <c r="B17" t="s">
        <v>5</v>
      </c>
      <c r="C17" t="b">
        <v>0</v>
      </c>
      <c r="F17">
        <v>14500</v>
      </c>
      <c r="G17">
        <v>22200</v>
      </c>
      <c r="H17">
        <v>35000</v>
      </c>
      <c r="I17">
        <v>49500</v>
      </c>
    </row>
    <row r="18" spans="1:10" x14ac:dyDescent="0.25">
      <c r="A18">
        <v>12</v>
      </c>
      <c r="B18" t="s">
        <v>6</v>
      </c>
      <c r="C18" t="b">
        <v>0</v>
      </c>
      <c r="F18">
        <v>52000</v>
      </c>
      <c r="G18">
        <v>39700</v>
      </c>
      <c r="H18">
        <v>66500</v>
      </c>
      <c r="I18">
        <v>100700</v>
      </c>
    </row>
    <row r="19" spans="1:10" x14ac:dyDescent="0.25">
      <c r="A19">
        <v>13</v>
      </c>
      <c r="B19" t="s">
        <v>21</v>
      </c>
      <c r="C19" t="b">
        <v>1</v>
      </c>
      <c r="D19">
        <v>3000</v>
      </c>
      <c r="E19">
        <v>4000</v>
      </c>
    </row>
    <row r="20" spans="1:10" x14ac:dyDescent="0.25">
      <c r="A20">
        <v>14</v>
      </c>
      <c r="B20" t="s">
        <v>7</v>
      </c>
      <c r="C20" t="b">
        <v>0</v>
      </c>
      <c r="G20">
        <v>5660</v>
      </c>
      <c r="H20">
        <v>6780</v>
      </c>
      <c r="I20">
        <v>16000</v>
      </c>
    </row>
    <row r="21" spans="1:10" x14ac:dyDescent="0.25">
      <c r="A21">
        <v>15</v>
      </c>
      <c r="B21" t="s">
        <v>8</v>
      </c>
      <c r="C21" t="b">
        <v>0</v>
      </c>
      <c r="G21">
        <v>67300</v>
      </c>
      <c r="H21">
        <v>84000</v>
      </c>
      <c r="I21">
        <v>152600</v>
      </c>
    </row>
    <row r="22" spans="1:10" x14ac:dyDescent="0.25">
      <c r="A22">
        <v>16</v>
      </c>
      <c r="B22" t="s">
        <v>22</v>
      </c>
      <c r="C22" t="b">
        <v>1</v>
      </c>
      <c r="D22">
        <v>10000</v>
      </c>
      <c r="E22">
        <v>13000</v>
      </c>
    </row>
    <row r="23" spans="1:10" x14ac:dyDescent="0.25">
      <c r="A23">
        <v>17</v>
      </c>
      <c r="B23" t="s">
        <v>23</v>
      </c>
      <c r="C23" t="b">
        <v>1</v>
      </c>
      <c r="D23">
        <v>15000</v>
      </c>
      <c r="E23">
        <v>18000</v>
      </c>
    </row>
    <row r="24" spans="1:10" x14ac:dyDescent="0.25">
      <c r="A24">
        <v>18</v>
      </c>
      <c r="B24" t="s">
        <v>9</v>
      </c>
      <c r="C24" t="b">
        <v>0</v>
      </c>
      <c r="G24">
        <v>19000</v>
      </c>
      <c r="H24">
        <v>25700</v>
      </c>
      <c r="I24">
        <v>42700</v>
      </c>
    </row>
    <row r="25" spans="1:10" x14ac:dyDescent="0.25">
      <c r="A25">
        <v>19</v>
      </c>
      <c r="B25" t="s">
        <v>24</v>
      </c>
      <c r="C25" t="b">
        <v>1</v>
      </c>
      <c r="D25">
        <v>10000</v>
      </c>
      <c r="E25">
        <v>17000</v>
      </c>
    </row>
    <row r="26" spans="1:10" x14ac:dyDescent="0.25">
      <c r="A26">
        <v>20</v>
      </c>
      <c r="B26" t="s">
        <v>25</v>
      </c>
      <c r="C26" t="b">
        <v>1</v>
      </c>
      <c r="D26">
        <v>10000</v>
      </c>
      <c r="E26">
        <v>17000</v>
      </c>
    </row>
    <row r="27" spans="1:10" x14ac:dyDescent="0.25">
      <c r="A27">
        <v>21</v>
      </c>
      <c r="B27" t="s">
        <v>10</v>
      </c>
      <c r="C27" t="b">
        <v>0</v>
      </c>
      <c r="F27">
        <v>17000</v>
      </c>
      <c r="G27">
        <v>17000</v>
      </c>
      <c r="H27">
        <v>30500</v>
      </c>
      <c r="I27">
        <v>53600</v>
      </c>
    </row>
    <row r="28" spans="1:10" x14ac:dyDescent="0.25">
      <c r="A28">
        <v>22</v>
      </c>
      <c r="B28" t="s">
        <v>11</v>
      </c>
      <c r="C28" t="b">
        <v>0</v>
      </c>
      <c r="G28">
        <v>43000</v>
      </c>
      <c r="H28">
        <v>55900</v>
      </c>
      <c r="I28">
        <v>213000</v>
      </c>
    </row>
    <row r="29" spans="1:10" x14ac:dyDescent="0.25">
      <c r="A29">
        <v>23</v>
      </c>
      <c r="B29" t="s">
        <v>12</v>
      </c>
      <c r="C29" t="b">
        <v>0</v>
      </c>
      <c r="G29">
        <v>94000</v>
      </c>
      <c r="H29">
        <v>154300</v>
      </c>
      <c r="I29">
        <v>201700</v>
      </c>
    </row>
    <row r="30" spans="1:10" x14ac:dyDescent="0.25">
      <c r="A30">
        <v>24</v>
      </c>
      <c r="B30" t="s">
        <v>27</v>
      </c>
      <c r="C30" t="b">
        <v>0</v>
      </c>
      <c r="G30">
        <f>G29*1.25</f>
        <v>117500</v>
      </c>
      <c r="H30">
        <f t="shared" ref="H30:I30" si="0">H29*1.25</f>
        <v>192875</v>
      </c>
      <c r="I30">
        <f t="shared" si="0"/>
        <v>252125</v>
      </c>
      <c r="J30" t="s">
        <v>37</v>
      </c>
    </row>
  </sheetData>
  <autoFilter ref="A6:J30" xr:uid="{D5329979-E54C-48B7-8E55-3C9F10950753}">
    <sortState xmlns:xlrd2="http://schemas.microsoft.com/office/spreadsheetml/2017/richdata2" ref="A7:J30">
      <sortCondition ref="A6:A30"/>
    </sortState>
  </autoFilter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Cahill</dc:creator>
  <cp:lastModifiedBy>Ryan Cahill</cp:lastModifiedBy>
  <dcterms:created xsi:type="dcterms:W3CDTF">2022-03-10T17:38:40Z</dcterms:created>
  <dcterms:modified xsi:type="dcterms:W3CDTF">2022-12-08T16:14:40Z</dcterms:modified>
</cp:coreProperties>
</file>