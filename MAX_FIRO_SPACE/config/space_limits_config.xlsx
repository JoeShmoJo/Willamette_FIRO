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_projects\SpaceComponentLimits\config\"/>
    </mc:Choice>
  </mc:AlternateContent>
  <xr:revisionPtr revIDLastSave="0" documentId="13_ncr:1_{B9DB3E66-0A5C-4C90-BB8B-3102DB296314}" xr6:coauthVersionLast="47" xr6:coauthVersionMax="47" xr10:uidLastSave="{00000000-0000-0000-0000-000000000000}"/>
  <bookViews>
    <workbookView xWindow="-28920" yWindow="-90" windowWidth="29040" windowHeight="15690" activeTab="3" xr2:uid="{78278E05-0656-4A87-828F-113AF33ECEDE}"/>
  </bookViews>
  <sheets>
    <sheet name="events" sheetId="2" r:id="rId1"/>
    <sheet name="control_points" sheetId="1" r:id="rId2"/>
    <sheet name="reservoirs" sheetId="3" r:id="rId3"/>
    <sheet name="alternativ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D15" i="1"/>
  <c r="D10" i="1"/>
  <c r="D14" i="1"/>
  <c r="D13" i="1" l="1"/>
  <c r="D12" i="1"/>
  <c r="D11" i="1"/>
  <c r="D7" i="1"/>
  <c r="D8" i="1"/>
  <c r="D9" i="1"/>
</calcChain>
</file>

<file path=xl/sharedStrings.xml><?xml version="1.0" encoding="utf-8"?>
<sst xmlns="http://schemas.openxmlformats.org/spreadsheetml/2006/main" count="135" uniqueCount="50">
  <si>
    <t>ControlPoint</t>
  </si>
  <si>
    <t>LagTime</t>
  </si>
  <si>
    <t>Mehama</t>
  </si>
  <si>
    <t>Vida</t>
  </si>
  <si>
    <t>Jasper</t>
  </si>
  <si>
    <t>Goshen</t>
  </si>
  <si>
    <t>Monroe</t>
  </si>
  <si>
    <t>Waterloo</t>
  </si>
  <si>
    <t>LeadTime</t>
  </si>
  <si>
    <t>JASO3</t>
  </si>
  <si>
    <t>VIDO3</t>
  </si>
  <si>
    <t>GOSO3</t>
  </si>
  <si>
    <t>ALBO3</t>
  </si>
  <si>
    <t>MNRO3</t>
  </si>
  <si>
    <t>WTLO3</t>
  </si>
  <si>
    <t>MEHO3</t>
  </si>
  <si>
    <t>JFFO3</t>
  </si>
  <si>
    <t>SLMO3</t>
  </si>
  <si>
    <t>EUGO3</t>
  </si>
  <si>
    <t>HARO3</t>
  </si>
  <si>
    <t>ControlPointID</t>
  </si>
  <si>
    <t>Albany</t>
  </si>
  <si>
    <t>Jefferson</t>
  </si>
  <si>
    <t>Salem</t>
  </si>
  <si>
    <t>Eugene</t>
  </si>
  <si>
    <t>Harrisburg</t>
  </si>
  <si>
    <t>BankfullStage</t>
  </si>
  <si>
    <t>NWRFC Bankfull stages as of 09Oct2026 (https://www.nwrfc.noaa.gov/rfc/)</t>
  </si>
  <si>
    <t>First 5 lines are reserved for comments and notes. Headings start at line 6.</t>
  </si>
  <si>
    <t>Project</t>
  </si>
  <si>
    <t>Hills Creek</t>
  </si>
  <si>
    <t>Lookout Point</t>
  </si>
  <si>
    <t>Fall Creek</t>
  </si>
  <si>
    <t>Dorena</t>
  </si>
  <si>
    <t>Cottage Grove</t>
  </si>
  <si>
    <t>Cougar</t>
  </si>
  <si>
    <t>Blue River</t>
  </si>
  <si>
    <t>Fern Ridge</t>
  </si>
  <si>
    <t>Green Peter</t>
  </si>
  <si>
    <t>Foster</t>
  </si>
  <si>
    <t>Detroit</t>
  </si>
  <si>
    <t>MaxCon</t>
  </si>
  <si>
    <t>MinCon</t>
  </si>
  <si>
    <t>Currently using weighted average lag time</t>
  </si>
  <si>
    <t xml:space="preserve">Each column is a different alternative. The available storage at the downstream control point will distributed amoung defined project  </t>
  </si>
  <si>
    <t>Lookout Point+Hills Creek</t>
  </si>
  <si>
    <t>DaysToEvac20Percent</t>
  </si>
  <si>
    <t>"DaysToEvac20Percent" is the number of day to evacuate 20% of conservation storage</t>
  </si>
  <si>
    <t>Reservoir</t>
  </si>
  <si>
    <t>NearestDSControlPoint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</si>
</sst>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\ h:mm;@"/>
    <numFmt numFmtId="165" formatCode="0.000"/>
    <numFmt numFmtId="166" formatCode="[$-409]mmmm\ d\,\ yyyy;@"/>
    <numFmt numFmtId="167" formatCode="0.000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0" fillId="0" borderId="0" xfId="0" quotePrefix="1"/>
    <xf numFmtId="0" fontId="1" fillId="0" borderId="0" xfId="1" applyFill="1"/>
    <xf numFmtId="0" fontId="1" fillId="0" borderId="1" xfId="1" applyFill="1" applyBorder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3">
    <cellStyle name="20% - Accent2" xfId="1" builtinId="34"/>
    <cellStyle name="Normal" xfId="0" builtinId="0"/>
    <cellStyle name="Normal 2" xfId="2" xr:uid="{8CCEE610-E9E6-4E16-87AF-5C11C4F8BAF4}"/>
  </cellStyles>
  <dxfs count="0"/>
  <tableStyles count="0" defaultTableStyle="TableStyleMedium2" defaultPivotStyle="PivotStyleLight16"/>
  <colors>
    <mruColors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245493</xdr:colOff>
      <xdr:row>20</xdr:row>
      <xdr:rowOff>40052</xdr:rowOff>
    </xdr:from>
    <xdr:to>
      <xdr:col>9</xdr:col>
      <xdr:colOff>235855</xdr:colOff>
      <xdr:row>43</xdr:row>
      <xdr:rowOff>107076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E93CA0-2A0E-7E8F-554B-187443C55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7058" y="3850052"/>
          <a:ext cx="7925101" cy="4448524"/>
        </a:xfrm>
        <a:prstGeom prst="rect">
          <a:avLst/>
        </a:prstGeom>
      </xdr:spPr>
    </xdr:pic>
    <xdr:clientData/>
  </xdr:twoCellAnchor>
  <xdr:twoCellAnchor editAs="oneCell">
    <xdr:from>
      <xdr:col>18</xdr:col>
      <xdr:colOff>267950</xdr:colOff>
      <xdr:row>9</xdr:row>
      <xdr:rowOff>68037</xdr:rowOff>
    </xdr:from>
    <xdr:to>
      <xdr:col>37</xdr:col>
      <xdr:colOff>186928</xdr:colOff>
      <xdr:row>41</xdr:row>
      <xdr:rowOff>149858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912F720-9693-9B96-A9D4-971C0569A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45307" y="1592037"/>
          <a:ext cx="11553085" cy="6177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917C-ECE2-42D4-A402-AD38624D09FA}">
  <dimension ref="A1:N152"/>
  <sheetViews>
    <sheetView zoomScaleNormal="100" workbookViewId="0">
      <selection activeCell="D27" sqref="D27"/>
    </sheetView>
  </sheetViews>
  <sheetFormatPr defaultRowHeight="15" x14ac:dyDescent="0.25"/>
  <cols>
    <col min="1" max="1" width="22.28515625" style="3" customWidth="1"/>
    <col min="2" max="3" width="13.5703125" style="3" bestFit="1" customWidth="1"/>
    <col min="4" max="5" width="17.7109375" style="3" bestFit="1" customWidth="1"/>
    <col min="6" max="6" width="17.140625" style="3" customWidth="1"/>
    <col min="7" max="7" width="17.7109375" style="9" bestFit="1" customWidth="1"/>
    <col min="8" max="8" width="20" style="9" customWidth="1"/>
    <col min="9" max="9" width="17.7109375" style="9" bestFit="1" customWidth="1"/>
    <col min="10" max="10" width="23.42578125" style="9" customWidth="1"/>
  </cols>
  <sheetData>
    <row r="1" spans="1:10" x14ac:dyDescent="0.25">
      <c r="A1" t="s">
        <v>28</v>
      </c>
      <c r="B1"/>
      <c r="C1"/>
      <c r="D1"/>
      <c r="E1"/>
      <c r="F1"/>
      <c r="G1"/>
      <c r="H1"/>
      <c r="I1"/>
      <c r="J1"/>
    </row>
    <row r="2" spans="1:10" x14ac:dyDescent="0.25">
      <c r="A2"/>
      <c r="B2"/>
      <c r="C2"/>
      <c r="D2"/>
      <c r="E2"/>
      <c r="F2"/>
      <c r="G2"/>
      <c r="H2"/>
      <c r="I2"/>
      <c r="J2"/>
    </row>
    <row r="3" spans="1:10" x14ac:dyDescent="0.25">
      <c r="A3"/>
      <c r="B3"/>
      <c r="C3"/>
      <c r="D3"/>
      <c r="E3"/>
      <c r="F3"/>
      <c r="G3"/>
      <c r="H3"/>
      <c r="I3"/>
      <c r="J3"/>
    </row>
    <row r="4" spans="1:10" x14ac:dyDescent="0.25">
      <c r="A4"/>
      <c r="B4"/>
      <c r="C4"/>
      <c r="D4"/>
      <c r="E4"/>
      <c r="F4"/>
      <c r="G4"/>
      <c r="H4"/>
      <c r="I4"/>
      <c r="J4"/>
    </row>
    <row r="5" spans="1:10" x14ac:dyDescent="0.25">
      <c r="A5"/>
      <c r="B5"/>
      <c r="C5"/>
      <c r="D5"/>
      <c r="E5"/>
      <c r="F5"/>
      <c r="G5"/>
      <c r="H5"/>
      <c r="I5"/>
      <c r="J5"/>
    </row>
    <row r="6" spans="1:10" x14ac:dyDescent="0.25">
      <c r="A6" s="1" t="s">
        <v>5</v>
      </c>
      <c r="B6" s="1" t="s">
        <v>3</v>
      </c>
      <c r="C6" s="1" t="s">
        <v>6</v>
      </c>
      <c r="D6" s="1" t="s">
        <v>4</v>
      </c>
      <c r="E6" s="1" t="s">
        <v>7</v>
      </c>
      <c r="F6" s="1" t="s">
        <v>2</v>
      </c>
      <c r="G6" s="1" t="s">
        <v>22</v>
      </c>
      <c r="H6" s="1" t="s">
        <v>25</v>
      </c>
      <c r="I6" s="1" t="s">
        <v>21</v>
      </c>
      <c r="J6" s="1" t="s">
        <v>23</v>
      </c>
    </row>
    <row r="7" spans="1:10" x14ac:dyDescent="0.25">
      <c r="A7" s="3">
        <v>15702.333333333334</v>
      </c>
      <c r="B7" s="3">
        <v>15702.625</v>
      </c>
      <c r="C7" s="3">
        <v>15702.791666666666</v>
      </c>
      <c r="D7" s="3">
        <v>23732.541666666668</v>
      </c>
      <c r="E7" s="3">
        <v>23732.541666666668</v>
      </c>
      <c r="F7" s="3">
        <v>15702.416666666666</v>
      </c>
      <c r="G7" s="9">
        <v>16799.333333333332</v>
      </c>
      <c r="H7" s="9">
        <v>16799.458333333332</v>
      </c>
      <c r="I7" s="9">
        <v>15703.833333333334</v>
      </c>
      <c r="J7" s="9">
        <v>15703.083333333334</v>
      </c>
    </row>
    <row r="8" spans="1:10" x14ac:dyDescent="0.25">
      <c r="A8" s="3">
        <v>16799.166666666668</v>
      </c>
      <c r="B8" s="3">
        <v>16799.041666666668</v>
      </c>
      <c r="C8" s="3">
        <v>20441.916666666668</v>
      </c>
      <c r="D8" s="3">
        <v>29557.375</v>
      </c>
      <c r="E8" s="3">
        <v>29557.875</v>
      </c>
      <c r="F8" s="3">
        <v>17124.458333333332</v>
      </c>
      <c r="G8" s="9">
        <v>22321.875</v>
      </c>
      <c r="H8" s="9">
        <v>29558.041666666668</v>
      </c>
      <c r="I8" s="9">
        <v>16800.583333333332</v>
      </c>
      <c r="J8" s="9">
        <v>16800.041666666668</v>
      </c>
    </row>
    <row r="9" spans="1:10" x14ac:dyDescent="0.25">
      <c r="A9" s="3">
        <v>22321.958333333332</v>
      </c>
      <c r="B9" s="3">
        <v>17149.291666666668</v>
      </c>
      <c r="C9" s="3">
        <v>23731.75</v>
      </c>
      <c r="D9" s="3">
        <v>29580.666666666668</v>
      </c>
      <c r="E9" s="3">
        <v>29580.083333333332</v>
      </c>
      <c r="F9" s="3">
        <v>22321.625</v>
      </c>
      <c r="G9" s="9">
        <v>23732.75</v>
      </c>
      <c r="H9" s="9">
        <v>29580.541666666668</v>
      </c>
      <c r="I9" s="9">
        <v>20443.125</v>
      </c>
      <c r="J9" s="9">
        <v>20459.041666666668</v>
      </c>
    </row>
    <row r="10" spans="1:10" x14ac:dyDescent="0.25">
      <c r="A10" s="3">
        <v>23732.333333333332</v>
      </c>
      <c r="B10" s="3">
        <v>23732.75</v>
      </c>
      <c r="C10" s="3">
        <v>29558</v>
      </c>
      <c r="D10" s="3">
        <v>29923.5</v>
      </c>
      <c r="E10" s="3">
        <v>29922.708333333332</v>
      </c>
      <c r="F10" s="3">
        <v>23732.625</v>
      </c>
      <c r="G10" s="9">
        <v>29557.916666666668</v>
      </c>
      <c r="H10" s="9">
        <v>29923.416666666668</v>
      </c>
      <c r="I10" s="9">
        <v>23733.041666666668</v>
      </c>
      <c r="J10" s="9">
        <v>23732.916666666668</v>
      </c>
    </row>
    <row r="11" spans="1:10" x14ac:dyDescent="0.25">
      <c r="A11" s="3">
        <v>27043.75</v>
      </c>
      <c r="B11" s="3">
        <v>27044.458333333332</v>
      </c>
      <c r="C11" s="3">
        <v>29580.25</v>
      </c>
      <c r="D11" s="3">
        <v>29996.666666666668</v>
      </c>
      <c r="E11" s="3">
        <v>29935.375</v>
      </c>
      <c r="F11" s="3">
        <v>28453.916666666668</v>
      </c>
      <c r="G11" s="9">
        <v>29580.041666666668</v>
      </c>
      <c r="H11" s="9">
        <v>29996.875</v>
      </c>
      <c r="I11" s="9">
        <v>29559.125</v>
      </c>
      <c r="J11" s="9">
        <v>29558.916666666668</v>
      </c>
    </row>
    <row r="12" spans="1:10" x14ac:dyDescent="0.25">
      <c r="A12" s="3">
        <v>28454</v>
      </c>
      <c r="B12" s="3">
        <v>29926.041666666668</v>
      </c>
      <c r="C12" s="3">
        <v>29926.041666666668</v>
      </c>
      <c r="D12" s="3">
        <v>30289.5</v>
      </c>
      <c r="E12" s="3">
        <v>29996.5</v>
      </c>
      <c r="F12" s="3">
        <v>29557.833333333332</v>
      </c>
      <c r="G12" s="9">
        <v>29922.75</v>
      </c>
      <c r="H12" s="9">
        <v>30288.875</v>
      </c>
      <c r="I12" s="9">
        <v>29581.5</v>
      </c>
      <c r="J12" s="9">
        <v>29580.875</v>
      </c>
    </row>
    <row r="13" spans="1:10" x14ac:dyDescent="0.25">
      <c r="A13" s="3">
        <v>29935.291666666668</v>
      </c>
      <c r="B13" s="3">
        <v>30725.25</v>
      </c>
      <c r="C13" s="3">
        <v>29997.291666666668</v>
      </c>
      <c r="D13" s="3">
        <v>30324.041666666668</v>
      </c>
      <c r="E13" s="3">
        <v>30288.333333333332</v>
      </c>
      <c r="F13" s="3">
        <v>29577.583333333332</v>
      </c>
      <c r="G13" s="9">
        <v>29996.541666666668</v>
      </c>
      <c r="H13" s="9">
        <v>30321.416666666668</v>
      </c>
      <c r="I13" s="9">
        <v>29927.041666666668</v>
      </c>
      <c r="J13" s="9">
        <v>29926.625</v>
      </c>
    </row>
    <row r="14" spans="1:10" x14ac:dyDescent="0.25">
      <c r="A14" s="3">
        <v>29996.875</v>
      </c>
      <c r="B14" s="3">
        <v>30989.041666666668</v>
      </c>
      <c r="C14" s="3">
        <v>30301.166666666668</v>
      </c>
      <c r="D14" s="3">
        <v>30365.083333333332</v>
      </c>
      <c r="E14" s="3">
        <v>30320.791666666668</v>
      </c>
      <c r="F14" s="3">
        <v>29922.541666666668</v>
      </c>
      <c r="G14" s="9">
        <v>30288.583333333332</v>
      </c>
      <c r="H14" s="9">
        <v>30405.416666666668</v>
      </c>
      <c r="I14" s="9">
        <v>29998.083333333332</v>
      </c>
      <c r="J14" s="9">
        <v>29997.708333333332</v>
      </c>
    </row>
    <row r="15" spans="1:10" x14ac:dyDescent="0.25">
      <c r="A15" s="3">
        <v>30301.75</v>
      </c>
      <c r="B15" s="3">
        <v>31460.625</v>
      </c>
      <c r="C15" s="3">
        <v>30405.625</v>
      </c>
      <c r="D15" s="3">
        <v>30725.083333333332</v>
      </c>
      <c r="E15" s="3">
        <v>30365.208333333332</v>
      </c>
      <c r="F15" s="3">
        <v>29935.208333333332</v>
      </c>
      <c r="G15" s="9">
        <v>30320.875</v>
      </c>
      <c r="H15" s="9">
        <v>30725.541666666668</v>
      </c>
      <c r="I15" s="9">
        <v>30290.625</v>
      </c>
      <c r="J15" s="9">
        <v>30289.791666666668</v>
      </c>
    </row>
    <row r="16" spans="1:10" x14ac:dyDescent="0.25">
      <c r="A16" s="3">
        <v>30365.291666666668</v>
      </c>
      <c r="B16" s="3">
        <v>32121.458333333332</v>
      </c>
      <c r="C16" s="3">
        <v>30725.375</v>
      </c>
      <c r="D16" s="3">
        <v>30989.083333333332</v>
      </c>
      <c r="E16" s="3">
        <v>30405.333333333332</v>
      </c>
      <c r="F16" s="3">
        <v>29996.333333333332</v>
      </c>
      <c r="G16" s="9">
        <v>30365.166666666668</v>
      </c>
      <c r="H16" s="9">
        <v>30989.375</v>
      </c>
      <c r="I16" s="9">
        <v>30366.208333333332</v>
      </c>
      <c r="J16" s="9">
        <v>30322</v>
      </c>
    </row>
    <row r="17" spans="1:14" x14ac:dyDescent="0.25">
      <c r="A17" s="3">
        <v>30725.5</v>
      </c>
      <c r="B17" s="3">
        <v>32518.416666666668</v>
      </c>
      <c r="C17" s="3">
        <v>30998.083333333332</v>
      </c>
      <c r="D17" s="3">
        <v>31016.291666666668</v>
      </c>
      <c r="E17" s="3">
        <v>30725.166666666668</v>
      </c>
      <c r="F17" s="3">
        <v>30288.25</v>
      </c>
      <c r="G17" s="9">
        <v>30405.416666666668</v>
      </c>
      <c r="H17" s="9">
        <v>31015</v>
      </c>
      <c r="I17" s="9">
        <v>30406.666666666668</v>
      </c>
      <c r="J17" s="9">
        <v>30322.375</v>
      </c>
      <c r="L17" s="8"/>
      <c r="M17" s="8"/>
      <c r="N17" s="8"/>
    </row>
    <row r="18" spans="1:14" x14ac:dyDescent="0.25">
      <c r="A18" s="3">
        <v>30989.125</v>
      </c>
      <c r="B18" s="3">
        <v>32881.083333333336</v>
      </c>
      <c r="C18" s="3">
        <v>31014.583333333332</v>
      </c>
      <c r="D18" s="3">
        <v>31460.333333333332</v>
      </c>
      <c r="E18" s="3">
        <v>30988.791666666668</v>
      </c>
      <c r="F18" s="3">
        <v>30320.75</v>
      </c>
      <c r="G18" s="9">
        <v>30725.291666666668</v>
      </c>
      <c r="H18" s="9">
        <v>31460.083333333332</v>
      </c>
      <c r="I18" s="9">
        <v>30726.375</v>
      </c>
      <c r="J18" s="9">
        <v>30365.875</v>
      </c>
      <c r="L18" s="8"/>
      <c r="M18" s="8"/>
      <c r="N18" s="8"/>
    </row>
    <row r="19" spans="1:14" x14ac:dyDescent="0.25">
      <c r="A19" s="3">
        <v>31014.625</v>
      </c>
      <c r="B19" s="3">
        <v>32990.791666666664</v>
      </c>
      <c r="C19" s="3">
        <v>31744.208333333332</v>
      </c>
      <c r="D19" s="3">
        <v>31743.958333333332</v>
      </c>
      <c r="E19" s="3">
        <v>31459.958333333332</v>
      </c>
      <c r="F19" s="3">
        <v>30365</v>
      </c>
      <c r="G19" s="9">
        <v>30988.958333333332</v>
      </c>
      <c r="H19" s="9">
        <v>31738.25</v>
      </c>
      <c r="I19" s="9">
        <v>30990.708333333332</v>
      </c>
      <c r="J19" s="9">
        <v>30406.25</v>
      </c>
      <c r="L19" s="8"/>
      <c r="M19" s="8"/>
      <c r="N19" s="8"/>
    </row>
    <row r="20" spans="1:14" x14ac:dyDescent="0.25">
      <c r="A20" s="3">
        <v>31461.708333333332</v>
      </c>
      <c r="B20" s="3">
        <v>33579.041666666664</v>
      </c>
      <c r="C20" s="3">
        <v>31809.958333333332</v>
      </c>
      <c r="D20" s="3">
        <v>32121.708333333332</v>
      </c>
      <c r="E20" s="3">
        <v>31809.833333333332</v>
      </c>
      <c r="F20" s="3">
        <v>30405</v>
      </c>
      <c r="G20" s="9">
        <v>31459.916666666668</v>
      </c>
      <c r="H20" s="9">
        <v>32121.541666666668</v>
      </c>
      <c r="I20" s="9">
        <v>31017.666666666668</v>
      </c>
      <c r="J20" s="9">
        <v>30726.166666666668</v>
      </c>
      <c r="L20" s="8"/>
      <c r="M20" s="8"/>
      <c r="N20" s="8"/>
    </row>
    <row r="21" spans="1:14" x14ac:dyDescent="0.25">
      <c r="A21" s="3">
        <v>31744.166666666668</v>
      </c>
      <c r="B21" s="3">
        <v>34046.083333333336</v>
      </c>
      <c r="C21" s="3">
        <v>32121.5</v>
      </c>
      <c r="D21" s="3">
        <v>32152.416666666668</v>
      </c>
      <c r="E21" s="3">
        <v>32120.916666666668</v>
      </c>
      <c r="F21" s="3">
        <v>30725.041666666668</v>
      </c>
      <c r="G21" s="9">
        <v>31738.416666666668</v>
      </c>
      <c r="H21" s="9">
        <v>32152.541666666668</v>
      </c>
      <c r="I21" s="9">
        <v>31461.333333333332</v>
      </c>
      <c r="J21" s="9">
        <v>30990.291666666668</v>
      </c>
      <c r="L21" s="8"/>
      <c r="M21" s="8"/>
      <c r="N21" s="8"/>
    </row>
    <row r="22" spans="1:14" x14ac:dyDescent="0.25">
      <c r="A22" s="3">
        <v>32152.458333333332</v>
      </c>
      <c r="B22" s="3">
        <v>34712.791666666664</v>
      </c>
      <c r="C22" s="3">
        <v>32152.791666666668</v>
      </c>
      <c r="D22" s="3">
        <v>32469.833333333332</v>
      </c>
      <c r="E22" s="3">
        <v>32152.416666666668</v>
      </c>
      <c r="F22" s="3">
        <v>30988.708333333332</v>
      </c>
      <c r="G22" s="9">
        <v>31809.541666666668</v>
      </c>
      <c r="H22" s="9">
        <v>32469.583333333332</v>
      </c>
      <c r="I22" s="9">
        <v>31466.125</v>
      </c>
      <c r="J22" s="9">
        <v>31016.291666666668</v>
      </c>
      <c r="L22" s="8"/>
      <c r="M22" s="8"/>
      <c r="N22" s="8"/>
    </row>
    <row r="23" spans="1:14" x14ac:dyDescent="0.25">
      <c r="A23" s="3">
        <v>32469.666666666668</v>
      </c>
      <c r="B23" s="3">
        <v>35101.458333333336</v>
      </c>
      <c r="C23" s="3">
        <v>32518.791666666668</v>
      </c>
      <c r="D23" s="3">
        <v>32517.875</v>
      </c>
      <c r="E23" s="3">
        <v>32469.125</v>
      </c>
      <c r="F23" s="3">
        <v>31459.75</v>
      </c>
      <c r="G23" s="9">
        <v>32121.083333333332</v>
      </c>
      <c r="H23" s="9">
        <v>32518.208333333332</v>
      </c>
      <c r="I23" s="9">
        <v>31745.125</v>
      </c>
      <c r="J23" s="9">
        <v>31460.666666666668</v>
      </c>
      <c r="L23" s="8"/>
      <c r="M23" s="8"/>
      <c r="N23" s="8"/>
    </row>
    <row r="24" spans="1:14" x14ac:dyDescent="0.25">
      <c r="A24" s="3">
        <v>32518.083333333332</v>
      </c>
      <c r="B24" s="3">
        <v>35387.833333333336</v>
      </c>
      <c r="C24" s="3">
        <v>33301.541666666664</v>
      </c>
      <c r="D24" s="3">
        <v>32881.25</v>
      </c>
      <c r="E24" s="3">
        <v>32517.916666666668</v>
      </c>
      <c r="F24" s="3">
        <v>31737.083333333332</v>
      </c>
      <c r="G24" s="9">
        <v>32152.5</v>
      </c>
      <c r="H24" s="9">
        <v>32881.291666666664</v>
      </c>
      <c r="I24" s="9">
        <v>32123.125</v>
      </c>
      <c r="J24" s="9">
        <v>31744.5</v>
      </c>
      <c r="L24" s="8"/>
      <c r="M24" s="8"/>
      <c r="N24" s="8"/>
    </row>
    <row r="25" spans="1:14" x14ac:dyDescent="0.25">
      <c r="A25" s="3">
        <v>32881.291666666664</v>
      </c>
      <c r="B25" s="3">
        <v>35403.833333333336</v>
      </c>
      <c r="C25" s="3">
        <v>33991.125</v>
      </c>
      <c r="D25" s="3">
        <v>32990.666666666664</v>
      </c>
      <c r="E25" s="3">
        <v>32880.708333333336</v>
      </c>
      <c r="F25" s="3">
        <v>31809.125</v>
      </c>
      <c r="G25" s="9">
        <v>32469.5</v>
      </c>
      <c r="H25" s="9">
        <v>32991.083333333336</v>
      </c>
      <c r="I25" s="9">
        <v>32153.75</v>
      </c>
      <c r="J25" s="9">
        <v>32153.583333333332</v>
      </c>
      <c r="L25" s="8"/>
      <c r="M25" s="8"/>
      <c r="N25" s="8"/>
    </row>
    <row r="26" spans="1:14" x14ac:dyDescent="0.25">
      <c r="A26" s="3">
        <v>32991.625</v>
      </c>
      <c r="B26" s="3">
        <v>35424.333333333336</v>
      </c>
      <c r="C26" s="3">
        <v>34045.833333333336</v>
      </c>
      <c r="D26" s="3">
        <v>33704.333333333336</v>
      </c>
      <c r="E26" s="3">
        <v>32990.875</v>
      </c>
      <c r="F26" s="3">
        <v>32114.625</v>
      </c>
      <c r="G26" s="9">
        <v>32518.083333333332</v>
      </c>
      <c r="H26" s="9">
        <v>33251.125</v>
      </c>
      <c r="I26" s="9">
        <v>32471.708333333332</v>
      </c>
      <c r="J26" s="9">
        <v>32471.291666666668</v>
      </c>
      <c r="L26" s="8"/>
      <c r="M26" s="8"/>
      <c r="N26" s="8"/>
    </row>
    <row r="27" spans="1:14" x14ac:dyDescent="0.25">
      <c r="A27" s="3">
        <v>33376.333333333336</v>
      </c>
      <c r="B27" s="3">
        <v>36120.166666666664</v>
      </c>
      <c r="C27" s="3">
        <v>34712.375</v>
      </c>
      <c r="D27" s="3">
        <v>34044.125</v>
      </c>
      <c r="E27" s="3">
        <v>33250.625</v>
      </c>
      <c r="F27" s="3">
        <v>32152.416666666668</v>
      </c>
      <c r="G27" s="9">
        <v>32880.916666666664</v>
      </c>
      <c r="H27" s="9">
        <v>33302.166666666664</v>
      </c>
      <c r="I27" s="9">
        <v>32519.333333333332</v>
      </c>
      <c r="J27" s="9">
        <v>32519</v>
      </c>
      <c r="L27" s="8"/>
      <c r="M27" s="8"/>
      <c r="N27" s="8"/>
    </row>
    <row r="28" spans="1:14" x14ac:dyDescent="0.25">
      <c r="A28" s="3">
        <v>33579.25</v>
      </c>
      <c r="B28" s="3">
        <v>36156.958333333336</v>
      </c>
      <c r="C28" s="3">
        <v>34731.75</v>
      </c>
      <c r="D28" s="3">
        <v>34712.541666666664</v>
      </c>
      <c r="E28" s="3">
        <v>33578.75</v>
      </c>
      <c r="F28" s="3">
        <v>32469.208333333332</v>
      </c>
      <c r="G28" s="9">
        <v>32990.958333333336</v>
      </c>
      <c r="H28" s="9">
        <v>33376.291666666664</v>
      </c>
      <c r="I28" s="9">
        <v>32882.666666666664</v>
      </c>
      <c r="J28" s="9">
        <v>32881.958333333336</v>
      </c>
      <c r="L28" s="8"/>
      <c r="M28" s="8"/>
      <c r="N28" s="8"/>
    </row>
    <row r="29" spans="1:14" x14ac:dyDescent="0.25">
      <c r="A29" s="3">
        <v>33704.333333333336</v>
      </c>
      <c r="B29" s="3">
        <v>36489.625</v>
      </c>
      <c r="C29" s="3">
        <v>35084.541666666664</v>
      </c>
      <c r="D29" s="3">
        <v>34730.791666666664</v>
      </c>
      <c r="E29" s="3">
        <v>34043.666666666664</v>
      </c>
      <c r="F29" s="3">
        <v>32517.75</v>
      </c>
      <c r="G29" s="9">
        <v>33202.583333333336</v>
      </c>
      <c r="H29" s="9">
        <v>33704.541666666664</v>
      </c>
      <c r="I29" s="9">
        <v>32992.541666666664</v>
      </c>
      <c r="J29" s="9">
        <v>32992.458333333336</v>
      </c>
      <c r="L29" s="8"/>
      <c r="M29" s="8"/>
      <c r="N29" s="8"/>
    </row>
    <row r="30" spans="1:14" x14ac:dyDescent="0.25">
      <c r="A30" s="3">
        <v>33989.708333333336</v>
      </c>
      <c r="B30" s="3">
        <v>37238.958333333336</v>
      </c>
      <c r="C30" s="3">
        <v>35387.916666666664</v>
      </c>
      <c r="D30" s="3">
        <v>35084.625</v>
      </c>
      <c r="E30" s="3">
        <v>34389.416666666664</v>
      </c>
      <c r="F30" s="3">
        <v>32880.625</v>
      </c>
      <c r="G30" s="9">
        <v>33250.916666666664</v>
      </c>
      <c r="H30" s="9">
        <v>33990.125</v>
      </c>
      <c r="I30" s="9">
        <v>33580.666666666664</v>
      </c>
      <c r="J30" s="9">
        <v>33580.25</v>
      </c>
      <c r="L30" s="8"/>
      <c r="M30" s="8"/>
      <c r="N30" s="8"/>
    </row>
    <row r="31" spans="1:14" x14ac:dyDescent="0.25">
      <c r="A31" s="3">
        <v>34712.666666666664</v>
      </c>
      <c r="B31" s="3">
        <v>37360.208333333336</v>
      </c>
      <c r="C31" s="3">
        <v>35403.875</v>
      </c>
      <c r="D31" s="3">
        <v>35101.416666666664</v>
      </c>
      <c r="E31" s="3">
        <v>34712.666666666664</v>
      </c>
      <c r="F31" s="3">
        <v>32990.625</v>
      </c>
      <c r="G31" s="9">
        <v>34043.791666666664</v>
      </c>
      <c r="H31" s="9">
        <v>34044.25</v>
      </c>
      <c r="I31" s="9">
        <v>34045.916666666664</v>
      </c>
      <c r="J31" s="9">
        <v>34045.958333333336</v>
      </c>
      <c r="L31" s="8"/>
      <c r="M31" s="8"/>
      <c r="N31" s="8"/>
    </row>
    <row r="32" spans="1:14" x14ac:dyDescent="0.25">
      <c r="A32" s="3">
        <v>35387.666666666664</v>
      </c>
      <c r="B32" s="3">
        <v>37651.583333333336</v>
      </c>
      <c r="C32" s="3">
        <v>35425.083333333336</v>
      </c>
      <c r="D32" s="3">
        <v>35387.5</v>
      </c>
      <c r="E32" s="3">
        <v>34730.458333333336</v>
      </c>
      <c r="F32" s="3">
        <v>33202.25</v>
      </c>
      <c r="G32" s="9">
        <v>34389.625</v>
      </c>
      <c r="H32" s="9">
        <v>34712.75</v>
      </c>
      <c r="I32" s="9">
        <v>34713.5</v>
      </c>
      <c r="J32" s="9">
        <v>34713.25</v>
      </c>
      <c r="L32" s="8"/>
      <c r="M32" s="8"/>
      <c r="N32" s="8"/>
    </row>
    <row r="33" spans="1:14" x14ac:dyDescent="0.25">
      <c r="A33" s="3">
        <v>35404</v>
      </c>
      <c r="B33" s="3">
        <v>37968.583333333336</v>
      </c>
      <c r="C33" s="3">
        <v>35847.416666666664</v>
      </c>
      <c r="D33" s="3">
        <v>35424.333333333336</v>
      </c>
      <c r="E33" s="3">
        <v>35101.166666666664</v>
      </c>
      <c r="F33" s="3">
        <v>33250.875</v>
      </c>
      <c r="G33" s="9">
        <v>34712.791666666664</v>
      </c>
      <c r="H33" s="9">
        <v>34730.791666666664</v>
      </c>
      <c r="I33" s="9">
        <v>34732.25</v>
      </c>
      <c r="J33" s="9">
        <v>34731.416666666664</v>
      </c>
      <c r="L33" s="8"/>
      <c r="M33" s="8"/>
      <c r="N33" s="8"/>
    </row>
    <row r="34" spans="1:14" x14ac:dyDescent="0.25">
      <c r="A34" s="3">
        <v>35847.708333333336</v>
      </c>
      <c r="B34" s="3">
        <v>38716.416666666664</v>
      </c>
      <c r="C34" s="3">
        <v>36125.333333333336</v>
      </c>
      <c r="D34" s="3">
        <v>35806.75</v>
      </c>
      <c r="E34" s="3">
        <v>35387.791666666664</v>
      </c>
      <c r="F34" s="3">
        <v>34043.333333333336</v>
      </c>
      <c r="G34" s="9">
        <v>34730.541666666664</v>
      </c>
      <c r="H34" s="9">
        <v>35101.583333333336</v>
      </c>
      <c r="I34" s="9">
        <v>35085.333333333336</v>
      </c>
      <c r="J34" s="9">
        <v>35085.041666666664</v>
      </c>
      <c r="L34" s="8"/>
      <c r="M34" s="8"/>
      <c r="N34" s="8"/>
    </row>
    <row r="35" spans="1:14" x14ac:dyDescent="0.25">
      <c r="A35" s="3">
        <v>36120.458333333336</v>
      </c>
      <c r="B35" s="3">
        <v>39065.5</v>
      </c>
      <c r="C35" s="3">
        <v>36156.958333333336</v>
      </c>
      <c r="D35" s="3">
        <v>36120.333333333336</v>
      </c>
      <c r="E35" s="3">
        <v>35424.041666666664</v>
      </c>
      <c r="F35" s="3">
        <v>34336.916666666664</v>
      </c>
      <c r="G35" s="9">
        <v>35101.333333333336</v>
      </c>
      <c r="H35" s="9">
        <v>35387.833333333336</v>
      </c>
      <c r="I35" s="9">
        <v>35102.333333333336</v>
      </c>
      <c r="J35" s="9">
        <v>35101.833333333336</v>
      </c>
      <c r="L35" s="8"/>
      <c r="M35" s="8"/>
      <c r="N35" s="8"/>
    </row>
    <row r="36" spans="1:14" x14ac:dyDescent="0.25">
      <c r="A36" s="3">
        <v>36157.208333333336</v>
      </c>
      <c r="B36" s="3">
        <v>39810.541666666664</v>
      </c>
      <c r="C36" s="3">
        <v>36490.375</v>
      </c>
      <c r="D36" s="3">
        <v>36157.041666666664</v>
      </c>
      <c r="E36" s="3">
        <v>35809.916666666664</v>
      </c>
      <c r="F36" s="3">
        <v>34389.458333333336</v>
      </c>
      <c r="G36" s="9">
        <v>35388.041666666664</v>
      </c>
      <c r="H36" s="9">
        <v>35424.666666666664</v>
      </c>
      <c r="I36" s="9">
        <v>35388.708333333336</v>
      </c>
      <c r="J36" s="9">
        <v>35388.625</v>
      </c>
      <c r="L36" s="8"/>
      <c r="M36" s="8"/>
      <c r="N36" s="8"/>
    </row>
    <row r="37" spans="1:14" x14ac:dyDescent="0.25">
      <c r="A37" s="3">
        <v>36535.875</v>
      </c>
      <c r="B37" s="3">
        <v>40559.208333333336</v>
      </c>
      <c r="C37" s="3">
        <v>36536</v>
      </c>
      <c r="D37" s="3">
        <v>36490</v>
      </c>
      <c r="E37" s="3">
        <v>36120.125</v>
      </c>
      <c r="F37" s="3">
        <v>34712.5</v>
      </c>
      <c r="G37" s="9">
        <v>35404</v>
      </c>
      <c r="H37" s="9">
        <v>35807</v>
      </c>
      <c r="I37" s="9">
        <v>35405.041666666664</v>
      </c>
      <c r="J37" s="9">
        <v>35425.041666666664</v>
      </c>
      <c r="L37" s="8"/>
      <c r="M37" s="8"/>
      <c r="N37" s="8"/>
    </row>
    <row r="38" spans="1:14" x14ac:dyDescent="0.25">
      <c r="A38" s="3">
        <v>37239.208333333336</v>
      </c>
      <c r="B38" s="3">
        <v>40907.208333333336</v>
      </c>
      <c r="C38" s="3">
        <v>37278.125</v>
      </c>
      <c r="D38" s="3">
        <v>36535.708333333336</v>
      </c>
      <c r="E38" s="3">
        <v>36156.833333333336</v>
      </c>
      <c r="F38" s="3">
        <v>34730.166666666664</v>
      </c>
      <c r="G38" s="9">
        <v>35424.25</v>
      </c>
      <c r="H38" s="9">
        <v>35848.083333333336</v>
      </c>
      <c r="I38" s="9">
        <v>35425.666666666664</v>
      </c>
      <c r="J38" s="9">
        <v>35809.125</v>
      </c>
      <c r="L38" s="8"/>
      <c r="M38" s="8"/>
      <c r="N38" s="8"/>
    </row>
    <row r="39" spans="1:14" x14ac:dyDescent="0.25">
      <c r="A39" s="3">
        <v>37621.083333333336</v>
      </c>
      <c r="B39" s="3">
        <v>40927.208333333336</v>
      </c>
      <c r="C39" s="3">
        <v>37620.833333333336</v>
      </c>
      <c r="D39" s="3">
        <v>37239.041666666664</v>
      </c>
      <c r="E39" s="3">
        <v>36489.208333333336</v>
      </c>
      <c r="F39" s="3">
        <v>35101.083333333336</v>
      </c>
      <c r="G39" s="9">
        <v>35809.916666666664</v>
      </c>
      <c r="H39" s="9">
        <v>36120.625</v>
      </c>
      <c r="I39" s="9">
        <v>36121.875</v>
      </c>
      <c r="J39" s="9">
        <v>36121.916666666664</v>
      </c>
      <c r="L39" s="8"/>
      <c r="M39" s="8"/>
      <c r="N39" s="8"/>
    </row>
    <row r="40" spans="1:14" x14ac:dyDescent="0.25">
      <c r="A40" s="3">
        <v>37653.416666666664</v>
      </c>
      <c r="B40" s="3">
        <v>41233.541666666664</v>
      </c>
      <c r="C40" s="3">
        <v>37968.791666666664</v>
      </c>
      <c r="D40" s="3">
        <v>37360.208333333336</v>
      </c>
      <c r="E40" s="3">
        <v>36535.958333333336</v>
      </c>
      <c r="F40" s="3">
        <v>35388.041666666664</v>
      </c>
      <c r="G40" s="9">
        <v>36120.25</v>
      </c>
      <c r="H40" s="9">
        <v>36157.291666666664</v>
      </c>
      <c r="I40" s="9">
        <v>36157.958333333336</v>
      </c>
      <c r="J40" s="9">
        <v>36157.541666666664</v>
      </c>
      <c r="L40" s="8"/>
      <c r="M40" s="8"/>
      <c r="N40" s="8"/>
    </row>
    <row r="41" spans="1:14" x14ac:dyDescent="0.25">
      <c r="A41" s="3">
        <v>37968.583333333336</v>
      </c>
      <c r="B41" s="3">
        <v>41682.458333333336</v>
      </c>
      <c r="C41" s="3">
        <v>37984.208333333336</v>
      </c>
      <c r="D41" s="3">
        <v>37651.541666666664</v>
      </c>
      <c r="E41" s="3">
        <v>37360.083333333336</v>
      </c>
      <c r="F41" s="3">
        <v>35424</v>
      </c>
      <c r="G41" s="9">
        <v>36157</v>
      </c>
      <c r="H41" s="9">
        <v>36490.041666666664</v>
      </c>
      <c r="I41" s="9">
        <v>36491.333333333336</v>
      </c>
      <c r="J41" s="9">
        <v>36490.416666666664</v>
      </c>
      <c r="L41" s="8"/>
      <c r="M41" s="8"/>
      <c r="N41" s="8"/>
    </row>
    <row r="42" spans="1:14" x14ac:dyDescent="0.25">
      <c r="A42" s="3">
        <v>38330.083333333336</v>
      </c>
      <c r="B42" s="3">
        <v>41994</v>
      </c>
      <c r="C42" s="3">
        <v>39065.541666666664</v>
      </c>
      <c r="D42" s="3">
        <v>37706.166666666664</v>
      </c>
      <c r="E42" s="3">
        <v>37651.375</v>
      </c>
      <c r="F42" s="3">
        <v>35809.666666666664</v>
      </c>
      <c r="G42" s="9">
        <v>36489.416666666664</v>
      </c>
      <c r="H42" s="9">
        <v>36535.916666666664</v>
      </c>
      <c r="I42" s="9">
        <v>36537.208333333336</v>
      </c>
      <c r="J42" s="9">
        <v>36537.875</v>
      </c>
      <c r="L42" s="8"/>
      <c r="M42" s="8"/>
      <c r="N42" s="8"/>
    </row>
    <row r="43" spans="1:14" x14ac:dyDescent="0.25">
      <c r="A43" s="3">
        <v>38714.75</v>
      </c>
      <c r="B43" s="3">
        <v>42355.916666666664</v>
      </c>
      <c r="C43" s="3">
        <v>39076.666666666664</v>
      </c>
      <c r="D43" s="3">
        <v>37968.375</v>
      </c>
      <c r="E43" s="3">
        <v>37702.375</v>
      </c>
      <c r="F43" s="3">
        <v>36119.916666666664</v>
      </c>
      <c r="G43" s="9">
        <v>37239.041666666664</v>
      </c>
      <c r="H43" s="9">
        <v>37232.208333333336</v>
      </c>
      <c r="I43" s="9">
        <v>37240.583333333336</v>
      </c>
      <c r="J43" s="9">
        <v>37240</v>
      </c>
      <c r="L43" s="8"/>
      <c r="M43" s="8"/>
      <c r="N43" s="8"/>
    </row>
    <row r="44" spans="1:14" x14ac:dyDescent="0.25">
      <c r="A44" s="3">
        <v>38727.75</v>
      </c>
      <c r="B44" s="3">
        <v>42803.833333333336</v>
      </c>
      <c r="C44" s="3">
        <v>39419.916666666664</v>
      </c>
      <c r="D44" s="3">
        <v>38014.958333333336</v>
      </c>
      <c r="E44" s="3">
        <v>37968.416666666664</v>
      </c>
      <c r="F44" s="3">
        <v>36156.75</v>
      </c>
      <c r="G44" s="9">
        <v>37360.291666666664</v>
      </c>
      <c r="H44" s="9">
        <v>37278.041666666664</v>
      </c>
      <c r="I44" s="9">
        <v>37283.458333333336</v>
      </c>
      <c r="J44" s="9">
        <v>37652.416666666664</v>
      </c>
      <c r="L44" s="8"/>
      <c r="M44" s="8"/>
      <c r="N44" s="8"/>
    </row>
    <row r="45" spans="1:14" x14ac:dyDescent="0.25">
      <c r="A45" s="3">
        <v>38749.5</v>
      </c>
      <c r="B45" s="3">
        <v>43030.5</v>
      </c>
      <c r="C45" s="3">
        <v>39452.625</v>
      </c>
      <c r="D45" s="3">
        <v>38329.916666666664</v>
      </c>
      <c r="E45" s="3">
        <v>38010.333333333336</v>
      </c>
      <c r="F45" s="3">
        <v>36489</v>
      </c>
      <c r="G45" s="9">
        <v>37651.541666666664</v>
      </c>
      <c r="H45" s="9">
        <v>37360.541666666664</v>
      </c>
      <c r="I45" s="9">
        <v>37622.458333333336</v>
      </c>
      <c r="J45" s="9">
        <v>37969.458333333336</v>
      </c>
      <c r="L45" s="8"/>
      <c r="M45" s="8"/>
      <c r="N45" s="8"/>
    </row>
    <row r="46" spans="1:14" x14ac:dyDescent="0.25">
      <c r="A46" s="3">
        <v>39076.583333333336</v>
      </c>
      <c r="B46" s="3">
        <v>43562.5</v>
      </c>
      <c r="C46" s="3">
        <v>39478.625</v>
      </c>
      <c r="D46" s="3">
        <v>38714.333333333336</v>
      </c>
      <c r="E46" s="3">
        <v>38438.583333333336</v>
      </c>
      <c r="F46" s="3">
        <v>37238.791666666664</v>
      </c>
      <c r="G46" s="9">
        <v>37702.541666666664</v>
      </c>
      <c r="H46" s="9">
        <v>37621.208333333336</v>
      </c>
      <c r="I46" s="9">
        <v>37653.166666666664</v>
      </c>
      <c r="J46" s="9">
        <v>38015.958333333336</v>
      </c>
      <c r="L46" s="8"/>
      <c r="M46" s="8"/>
      <c r="N46" s="8"/>
    </row>
    <row r="47" spans="1:14" x14ac:dyDescent="0.25">
      <c r="A47" s="3">
        <v>39440.375</v>
      </c>
      <c r="B47" s="3">
        <v>44185.583333333336</v>
      </c>
      <c r="C47" s="3">
        <v>40267.458333333336</v>
      </c>
      <c r="D47" s="3">
        <v>38727.625</v>
      </c>
      <c r="E47" s="3">
        <v>38714.708333333336</v>
      </c>
      <c r="F47" s="3">
        <v>37359.958333333336</v>
      </c>
      <c r="G47" s="9">
        <v>37968.708333333336</v>
      </c>
      <c r="H47" s="9">
        <v>37651.791666666664</v>
      </c>
      <c r="I47" s="9">
        <v>37969.833333333336</v>
      </c>
      <c r="J47" s="9">
        <v>38332.375</v>
      </c>
      <c r="L47" s="8"/>
      <c r="M47" s="8"/>
      <c r="N47" s="8"/>
    </row>
    <row r="48" spans="1:14" x14ac:dyDescent="0.25">
      <c r="A48" s="3">
        <v>39810.5</v>
      </c>
      <c r="C48" s="3">
        <v>40603.166666666664</v>
      </c>
      <c r="D48" s="3">
        <v>38749.125</v>
      </c>
      <c r="E48" s="3">
        <v>39028.416666666664</v>
      </c>
      <c r="F48" s="3">
        <v>37647.75</v>
      </c>
      <c r="G48" s="9">
        <v>38010.291666666664</v>
      </c>
      <c r="H48" s="9">
        <v>37703.083333333336</v>
      </c>
      <c r="I48" s="9">
        <v>38017.083333333336</v>
      </c>
      <c r="J48" s="9">
        <v>38715.416666666664</v>
      </c>
      <c r="L48" s="8"/>
      <c r="M48" s="8"/>
      <c r="N48" s="8"/>
    </row>
    <row r="49" spans="1:14" x14ac:dyDescent="0.25">
      <c r="A49" s="3">
        <v>40179.583333333336</v>
      </c>
      <c r="C49" s="3">
        <v>40907.333333333336</v>
      </c>
      <c r="D49" s="3">
        <v>39065.375</v>
      </c>
      <c r="E49" s="3">
        <v>39064.333333333336</v>
      </c>
      <c r="F49" s="3">
        <v>37702.125</v>
      </c>
      <c r="G49" s="9">
        <v>38438.708333333336</v>
      </c>
      <c r="H49" s="9">
        <v>37968.708333333336</v>
      </c>
      <c r="I49" s="9">
        <v>38331.916666666664</v>
      </c>
      <c r="J49" s="9">
        <v>38749.125</v>
      </c>
      <c r="L49" s="8"/>
      <c r="M49" s="8"/>
      <c r="N49" s="8"/>
    </row>
    <row r="50" spans="1:14" x14ac:dyDescent="0.25">
      <c r="A50" s="3">
        <v>40267.166666666664</v>
      </c>
      <c r="C50" s="3">
        <v>40926.625</v>
      </c>
      <c r="D50" s="3">
        <v>39076.583333333336</v>
      </c>
      <c r="E50" s="3">
        <v>39128.833333333336</v>
      </c>
      <c r="F50" s="3">
        <v>37968.458333333336</v>
      </c>
      <c r="G50" s="9">
        <v>39028.416666666664</v>
      </c>
      <c r="H50" s="9">
        <v>37984.916666666664</v>
      </c>
      <c r="I50" s="9">
        <v>38715.75</v>
      </c>
      <c r="J50" s="9">
        <v>39065.583333333336</v>
      </c>
      <c r="L50" s="8"/>
      <c r="M50" s="8"/>
      <c r="N50" s="8"/>
    </row>
    <row r="51" spans="1:14" x14ac:dyDescent="0.25">
      <c r="A51" s="3">
        <v>40333.625</v>
      </c>
      <c r="C51" s="3">
        <v>41245.5</v>
      </c>
      <c r="D51" s="3">
        <v>39129.083333333336</v>
      </c>
      <c r="E51" s="3">
        <v>39419.875</v>
      </c>
      <c r="F51" s="3">
        <v>38010.041666666664</v>
      </c>
      <c r="G51" s="9">
        <v>39064.5</v>
      </c>
      <c r="H51" s="9">
        <v>38010.666666666664</v>
      </c>
      <c r="I51" s="9">
        <v>39066.375</v>
      </c>
      <c r="J51" s="9">
        <v>39077.833333333336</v>
      </c>
      <c r="L51" s="8"/>
      <c r="M51" s="8"/>
      <c r="N51" s="8"/>
    </row>
    <row r="52" spans="1:14" x14ac:dyDescent="0.25">
      <c r="A52" s="3">
        <v>40559.625</v>
      </c>
      <c r="C52" s="3">
        <v>41263.916666666664</v>
      </c>
      <c r="D52" s="3">
        <v>39404.958333333336</v>
      </c>
      <c r="E52" s="3">
        <v>39439.958333333336</v>
      </c>
      <c r="F52" s="3">
        <v>38331.083333333336</v>
      </c>
      <c r="G52" s="9">
        <v>39077.5</v>
      </c>
      <c r="H52" s="9">
        <v>38330.166666666664</v>
      </c>
      <c r="I52" s="9">
        <v>39077.875</v>
      </c>
      <c r="J52" s="9">
        <v>39130.708333333336</v>
      </c>
      <c r="L52" s="8"/>
      <c r="M52" s="8"/>
      <c r="N52" s="8"/>
    </row>
    <row r="53" spans="1:14" x14ac:dyDescent="0.25">
      <c r="A53" s="3">
        <v>40907.541666666664</v>
      </c>
      <c r="C53" s="3">
        <v>41682.458333333336</v>
      </c>
      <c r="D53" s="3">
        <v>39440.083333333336</v>
      </c>
      <c r="E53" s="3">
        <v>39810.25</v>
      </c>
      <c r="F53" s="3">
        <v>38438.375</v>
      </c>
      <c r="G53" s="9">
        <v>39129.083333333336</v>
      </c>
      <c r="H53" s="9">
        <v>38439.333333333336</v>
      </c>
      <c r="I53" s="9">
        <v>39812.083333333336</v>
      </c>
      <c r="J53" s="9">
        <v>39421.375</v>
      </c>
      <c r="L53" s="8"/>
      <c r="M53" s="8"/>
      <c r="N53" s="8"/>
    </row>
    <row r="54" spans="1:14" x14ac:dyDescent="0.25">
      <c r="A54" s="3">
        <v>40927.041666666664</v>
      </c>
      <c r="C54" s="3">
        <v>41994.166666666664</v>
      </c>
      <c r="D54" s="3">
        <v>39810.416666666664</v>
      </c>
      <c r="E54" s="3">
        <v>40266.75</v>
      </c>
      <c r="F54" s="3">
        <v>39028.041666666664</v>
      </c>
      <c r="G54" s="9">
        <v>39419.916666666664</v>
      </c>
      <c r="H54" s="9">
        <v>38714.458333333336</v>
      </c>
      <c r="I54" s="9">
        <v>40560.625</v>
      </c>
      <c r="J54" s="9">
        <v>39459.708333333336</v>
      </c>
      <c r="L54" s="8"/>
      <c r="M54" s="8"/>
      <c r="N54" s="8"/>
    </row>
    <row r="55" spans="1:14" x14ac:dyDescent="0.25">
      <c r="A55" s="3">
        <v>41233.375</v>
      </c>
      <c r="C55" s="3">
        <v>42355.916666666664</v>
      </c>
      <c r="D55" s="3">
        <v>40179.5</v>
      </c>
      <c r="E55" s="3">
        <v>40331.75</v>
      </c>
      <c r="F55" s="3">
        <v>39064.208333333336</v>
      </c>
      <c r="G55" s="9">
        <v>39440.166666666664</v>
      </c>
      <c r="H55" s="9">
        <v>39065</v>
      </c>
      <c r="I55" s="9">
        <v>40908.583333333336</v>
      </c>
      <c r="J55" s="9">
        <v>39811.75</v>
      </c>
      <c r="L55" s="8"/>
      <c r="M55" s="8"/>
      <c r="N55" s="8"/>
    </row>
    <row r="56" spans="1:14" x14ac:dyDescent="0.25">
      <c r="A56" s="3">
        <v>41682.875</v>
      </c>
      <c r="C56" s="3">
        <v>42771.583333333336</v>
      </c>
      <c r="D56" s="3">
        <v>40332.041666666664</v>
      </c>
      <c r="E56" s="3">
        <v>40559.041666666664</v>
      </c>
      <c r="F56" s="3">
        <v>39077.541666666664</v>
      </c>
      <c r="G56" s="9">
        <v>39810.5</v>
      </c>
      <c r="H56" s="9">
        <v>39076.625</v>
      </c>
      <c r="I56" s="9">
        <v>40927.875</v>
      </c>
      <c r="J56" s="9">
        <v>40907.708333333336</v>
      </c>
      <c r="L56" s="8"/>
      <c r="M56" s="8"/>
      <c r="N56" s="8"/>
    </row>
    <row r="57" spans="1:14" x14ac:dyDescent="0.25">
      <c r="A57" s="3">
        <v>41994.208333333336</v>
      </c>
      <c r="C57" s="3">
        <v>42803.583333333336</v>
      </c>
      <c r="D57" s="3">
        <v>40559.125</v>
      </c>
      <c r="E57" s="3">
        <v>40926.875</v>
      </c>
      <c r="F57" s="3">
        <v>39128.791666666664</v>
      </c>
      <c r="G57" s="9">
        <v>40266.75</v>
      </c>
      <c r="H57" s="9">
        <v>39129.291666666664</v>
      </c>
      <c r="I57" s="9">
        <v>41234.791666666664</v>
      </c>
      <c r="J57" s="9">
        <v>40927.5</v>
      </c>
      <c r="L57" s="8"/>
      <c r="M57" s="8"/>
      <c r="N57" s="8"/>
    </row>
    <row r="58" spans="1:14" x14ac:dyDescent="0.25">
      <c r="A58" s="3">
        <v>42351.208333333336</v>
      </c>
      <c r="C58" s="3">
        <v>43562.416666666664</v>
      </c>
      <c r="D58" s="3">
        <v>40907.291666666664</v>
      </c>
      <c r="E58" s="3">
        <v>41233.208333333336</v>
      </c>
      <c r="F58" s="3">
        <v>39403.708333333336</v>
      </c>
      <c r="G58" s="9">
        <v>40332</v>
      </c>
      <c r="H58" s="9">
        <v>39404.125</v>
      </c>
      <c r="I58" s="9">
        <v>41683.958333333336</v>
      </c>
      <c r="J58" s="9">
        <v>41234.333333333336</v>
      </c>
      <c r="L58" s="8"/>
      <c r="M58" s="8"/>
      <c r="N58" s="8"/>
    </row>
    <row r="59" spans="1:14" x14ac:dyDescent="0.25">
      <c r="A59" s="3">
        <v>42719.083333333336</v>
      </c>
      <c r="D59" s="3">
        <v>40926.958333333336</v>
      </c>
      <c r="E59" s="3">
        <v>41682.291666666664</v>
      </c>
      <c r="F59" s="3">
        <v>39419.458333333336</v>
      </c>
      <c r="G59" s="9">
        <v>40559.208333333336</v>
      </c>
      <c r="H59" s="9">
        <v>39440.333333333336</v>
      </c>
      <c r="I59" s="9">
        <v>41995.375</v>
      </c>
      <c r="J59" s="9">
        <v>41683.166666666664</v>
      </c>
      <c r="L59" s="8"/>
      <c r="M59" s="8"/>
      <c r="N59" s="8"/>
    </row>
    <row r="60" spans="1:14" x14ac:dyDescent="0.25">
      <c r="A60" s="3">
        <v>42788</v>
      </c>
      <c r="D60" s="3">
        <v>41233.25</v>
      </c>
      <c r="E60" s="3">
        <v>41993.833333333336</v>
      </c>
      <c r="F60" s="3">
        <v>39439.916666666664</v>
      </c>
      <c r="G60" s="9">
        <v>40905.958333333336</v>
      </c>
      <c r="H60" s="9">
        <v>39810.583333333336</v>
      </c>
      <c r="I60" s="9">
        <v>42352.666666666664</v>
      </c>
      <c r="J60" s="9">
        <v>41994.875</v>
      </c>
      <c r="L60" s="8"/>
      <c r="M60" s="8"/>
      <c r="N60" s="8"/>
    </row>
    <row r="61" spans="1:14" x14ac:dyDescent="0.25">
      <c r="A61" s="3">
        <v>42803.541666666664</v>
      </c>
      <c r="D61" s="3">
        <v>41682.5</v>
      </c>
      <c r="E61" s="3">
        <v>42775.583333333336</v>
      </c>
      <c r="F61" s="3">
        <v>39585</v>
      </c>
      <c r="G61" s="9">
        <v>40927.041666666664</v>
      </c>
      <c r="H61" s="9">
        <v>40179.541666666664</v>
      </c>
      <c r="I61" s="9">
        <v>42777.125</v>
      </c>
      <c r="J61" s="9">
        <v>42356.416666666664</v>
      </c>
      <c r="L61" s="8"/>
      <c r="M61" s="8"/>
      <c r="N61" s="8"/>
    </row>
    <row r="62" spans="1:14" x14ac:dyDescent="0.25">
      <c r="A62" s="3">
        <v>43562.708333333336</v>
      </c>
      <c r="D62" s="3">
        <v>41994</v>
      </c>
      <c r="E62" s="3">
        <v>42803</v>
      </c>
      <c r="F62" s="3">
        <v>39810.291666666664</v>
      </c>
      <c r="G62" s="9">
        <v>41233.25</v>
      </c>
      <c r="H62" s="9">
        <v>40267.208333333336</v>
      </c>
      <c r="I62" s="9">
        <v>42804.583333333336</v>
      </c>
      <c r="J62" s="9">
        <v>42772.458333333336</v>
      </c>
      <c r="L62" s="8"/>
      <c r="M62" s="8"/>
      <c r="N62" s="8"/>
    </row>
    <row r="63" spans="1:14" x14ac:dyDescent="0.25">
      <c r="D63" s="3">
        <v>42351</v>
      </c>
      <c r="E63" s="3">
        <v>43030.25</v>
      </c>
      <c r="F63" s="3">
        <v>40183.875</v>
      </c>
      <c r="G63" s="9">
        <v>41682.458333333336</v>
      </c>
      <c r="H63" s="9">
        <v>40332.208333333336</v>
      </c>
      <c r="I63" s="9">
        <v>43563.666666666664</v>
      </c>
      <c r="J63" s="9">
        <v>42803.958333333336</v>
      </c>
      <c r="L63" s="8"/>
      <c r="M63" s="8"/>
      <c r="N63" s="8"/>
    </row>
    <row r="64" spans="1:14" x14ac:dyDescent="0.25">
      <c r="D64" s="3">
        <v>42719.125</v>
      </c>
      <c r="E64" s="3">
        <v>43062.916666666664</v>
      </c>
      <c r="F64" s="3">
        <v>40266.333333333336</v>
      </c>
      <c r="G64" s="9">
        <v>41994.083333333336</v>
      </c>
      <c r="H64" s="9">
        <v>40559.458333333336</v>
      </c>
      <c r="I64" s="9">
        <v>44187.166666666664</v>
      </c>
      <c r="J64" s="9">
        <v>43563.125</v>
      </c>
      <c r="L64" s="8"/>
      <c r="M64" s="8"/>
      <c r="N64" s="8"/>
    </row>
    <row r="65" spans="4:14" x14ac:dyDescent="0.25">
      <c r="D65" s="3">
        <v>42776.125</v>
      </c>
      <c r="E65" s="3">
        <v>43562.208333333336</v>
      </c>
      <c r="F65" s="3">
        <v>40331.625</v>
      </c>
      <c r="G65" s="9">
        <v>42771.625</v>
      </c>
      <c r="H65" s="9">
        <v>40613.166666666664</v>
      </c>
      <c r="J65" s="9">
        <v>43859.75</v>
      </c>
      <c r="L65" s="8"/>
      <c r="M65" s="8"/>
      <c r="N65" s="8"/>
    </row>
    <row r="66" spans="4:14" x14ac:dyDescent="0.25">
      <c r="D66" s="3">
        <v>42803.541666666664</v>
      </c>
      <c r="E66" s="3">
        <v>44185.25</v>
      </c>
      <c r="F66" s="3">
        <v>40558.916666666664</v>
      </c>
      <c r="G66" s="9">
        <v>42803.125</v>
      </c>
      <c r="H66" s="9">
        <v>40906.708333333336</v>
      </c>
      <c r="J66" s="9">
        <v>44186.25</v>
      </c>
      <c r="L66" s="8"/>
      <c r="M66" s="8"/>
      <c r="N66" s="8"/>
    </row>
    <row r="67" spans="4:14" x14ac:dyDescent="0.25">
      <c r="D67" s="3">
        <v>43562.5</v>
      </c>
      <c r="E67" s="3">
        <v>44199.458333333336</v>
      </c>
      <c r="F67" s="3">
        <v>40905.666666666664</v>
      </c>
      <c r="G67" s="9">
        <v>43030.375</v>
      </c>
      <c r="H67" s="9">
        <v>40927.25</v>
      </c>
      <c r="I67"/>
      <c r="L67" s="8"/>
      <c r="M67" s="8"/>
      <c r="N67" s="8"/>
    </row>
    <row r="68" spans="4:14" x14ac:dyDescent="0.25">
      <c r="D68" s="3">
        <v>44185.666666666664</v>
      </c>
      <c r="F68" s="3">
        <v>40926.875</v>
      </c>
      <c r="G68" s="9">
        <v>43062.791666666664</v>
      </c>
      <c r="H68" s="9">
        <v>41233.625</v>
      </c>
      <c r="I68"/>
      <c r="L68" s="8"/>
      <c r="M68" s="8"/>
      <c r="N68" s="8"/>
    </row>
    <row r="69" spans="4:14" x14ac:dyDescent="0.25">
      <c r="F69" s="3">
        <v>41232.958333333336</v>
      </c>
      <c r="G69" s="9">
        <v>43198.666666666664</v>
      </c>
      <c r="H69" s="9">
        <v>41682.75</v>
      </c>
      <c r="I69"/>
      <c r="J69"/>
      <c r="L69" s="8"/>
      <c r="M69" s="8"/>
      <c r="N69" s="8"/>
    </row>
    <row r="70" spans="4:14" x14ac:dyDescent="0.25">
      <c r="F70" s="3">
        <v>41247.333333333336</v>
      </c>
      <c r="G70" s="9">
        <v>43562.375</v>
      </c>
      <c r="H70" s="9">
        <v>41994.333333333336</v>
      </c>
      <c r="I70"/>
      <c r="J70"/>
      <c r="L70" s="8"/>
      <c r="M70" s="8"/>
      <c r="N70" s="8"/>
    </row>
    <row r="71" spans="4:14" x14ac:dyDescent="0.25">
      <c r="F71" s="3">
        <v>41682.291666666664</v>
      </c>
      <c r="G71" s="9">
        <v>43858.833333333336</v>
      </c>
      <c r="H71" s="9">
        <v>42714.583333333336</v>
      </c>
      <c r="I71"/>
      <c r="J71"/>
      <c r="L71" s="8"/>
      <c r="M71" s="8"/>
      <c r="N71" s="8"/>
    </row>
    <row r="72" spans="4:14" x14ac:dyDescent="0.25">
      <c r="F72" s="3">
        <v>41993.791666666664</v>
      </c>
      <c r="G72" s="9">
        <v>44185.416666666664</v>
      </c>
      <c r="H72" s="9">
        <v>42775.875</v>
      </c>
      <c r="I72"/>
      <c r="J72"/>
      <c r="L72" s="8"/>
      <c r="M72" s="8"/>
      <c r="N72" s="8"/>
    </row>
    <row r="73" spans="4:14" x14ac:dyDescent="0.25">
      <c r="F73" s="3">
        <v>42775.125</v>
      </c>
      <c r="H73" s="9">
        <v>42803.041666666664</v>
      </c>
      <c r="I73"/>
      <c r="J73"/>
      <c r="L73" s="8"/>
      <c r="M73" s="8"/>
      <c r="N73" s="8"/>
    </row>
    <row r="74" spans="4:14" x14ac:dyDescent="0.25">
      <c r="F74" s="3">
        <v>42803</v>
      </c>
      <c r="H74" s="9">
        <v>43030.958333333336</v>
      </c>
      <c r="I74"/>
      <c r="J74"/>
      <c r="L74" s="8"/>
      <c r="M74" s="8"/>
      <c r="N74" s="8"/>
    </row>
    <row r="75" spans="4:14" x14ac:dyDescent="0.25">
      <c r="F75" s="3">
        <v>43029.666666666664</v>
      </c>
      <c r="H75" s="9">
        <v>43063.25</v>
      </c>
      <c r="I75"/>
      <c r="J75"/>
      <c r="L75" s="8"/>
      <c r="M75" s="8"/>
      <c r="N75" s="8"/>
    </row>
    <row r="76" spans="4:14" x14ac:dyDescent="0.25">
      <c r="F76" s="3">
        <v>43059.583333333336</v>
      </c>
      <c r="H76" s="9">
        <v>43562.75</v>
      </c>
      <c r="I76"/>
      <c r="J76"/>
      <c r="L76" s="8"/>
      <c r="M76" s="8"/>
      <c r="N76" s="8"/>
    </row>
    <row r="77" spans="4:14" x14ac:dyDescent="0.25">
      <c r="F77" s="3">
        <v>43198.375</v>
      </c>
      <c r="H77" s="9">
        <v>43857.25</v>
      </c>
      <c r="I77"/>
      <c r="J77"/>
      <c r="L77" s="8"/>
      <c r="M77" s="8"/>
      <c r="N77" s="8"/>
    </row>
    <row r="78" spans="4:14" x14ac:dyDescent="0.25">
      <c r="F78" s="3">
        <v>43562.125</v>
      </c>
      <c r="G78"/>
      <c r="H78" s="9">
        <v>44185.916666666664</v>
      </c>
      <c r="I78"/>
      <c r="J78"/>
      <c r="L78" s="8"/>
      <c r="M78" s="8"/>
      <c r="N78" s="8"/>
    </row>
    <row r="79" spans="4:14" x14ac:dyDescent="0.25">
      <c r="F79" s="3">
        <v>43858.291666666664</v>
      </c>
      <c r="G79"/>
      <c r="I79"/>
      <c r="J79"/>
      <c r="L79" s="8"/>
      <c r="M79" s="8"/>
      <c r="N79" s="8"/>
    </row>
    <row r="80" spans="4:14" x14ac:dyDescent="0.25">
      <c r="F80" s="3">
        <v>44185.083333333336</v>
      </c>
      <c r="G80"/>
      <c r="I80"/>
      <c r="J80"/>
      <c r="L80" s="8"/>
      <c r="M80" s="8"/>
      <c r="N80" s="8"/>
    </row>
    <row r="81" spans="6:14" x14ac:dyDescent="0.25">
      <c r="F81" s="3">
        <v>44199.125</v>
      </c>
      <c r="G81"/>
      <c r="I81"/>
      <c r="J81"/>
      <c r="L81" s="8"/>
      <c r="M81" s="8"/>
      <c r="N81" s="8"/>
    </row>
    <row r="82" spans="6:14" x14ac:dyDescent="0.25">
      <c r="G82"/>
      <c r="H82"/>
      <c r="I82"/>
      <c r="J82"/>
      <c r="L82" s="8"/>
      <c r="M82" s="8"/>
      <c r="N82" s="8"/>
    </row>
    <row r="83" spans="6:14" x14ac:dyDescent="0.25">
      <c r="G83"/>
      <c r="H83"/>
      <c r="I83"/>
      <c r="J83"/>
      <c r="L83" s="8"/>
      <c r="M83" s="8"/>
      <c r="N83" s="8"/>
    </row>
    <row r="84" spans="6:14" x14ac:dyDescent="0.25">
      <c r="G84"/>
      <c r="H84"/>
      <c r="J84"/>
      <c r="L84" s="8"/>
      <c r="M84" s="8"/>
      <c r="N84" s="8"/>
    </row>
    <row r="85" spans="6:14" x14ac:dyDescent="0.25">
      <c r="G85"/>
      <c r="H85"/>
      <c r="J85"/>
      <c r="L85" s="8"/>
      <c r="M85" s="8"/>
      <c r="N85" s="8"/>
    </row>
    <row r="86" spans="6:14" x14ac:dyDescent="0.25">
      <c r="G86"/>
      <c r="H86"/>
      <c r="J86"/>
      <c r="L86" s="8"/>
      <c r="M86" s="8"/>
      <c r="N86" s="8"/>
    </row>
    <row r="87" spans="6:14" x14ac:dyDescent="0.25">
      <c r="G87"/>
      <c r="H87"/>
      <c r="J87"/>
      <c r="L87" s="8"/>
      <c r="M87" s="8"/>
      <c r="N87" s="8"/>
    </row>
    <row r="88" spans="6:14" x14ac:dyDescent="0.25">
      <c r="G88"/>
      <c r="H88"/>
      <c r="J88"/>
      <c r="L88" s="8"/>
      <c r="M88" s="8"/>
      <c r="N88" s="8"/>
    </row>
    <row r="89" spans="6:14" x14ac:dyDescent="0.25">
      <c r="G89"/>
      <c r="H89"/>
      <c r="J89"/>
      <c r="L89" s="8"/>
      <c r="M89" s="8"/>
      <c r="N89" s="8"/>
    </row>
    <row r="90" spans="6:14" x14ac:dyDescent="0.25">
      <c r="G90"/>
      <c r="H90"/>
      <c r="J90"/>
      <c r="L90" s="8"/>
      <c r="M90" s="8"/>
      <c r="N90" s="8"/>
    </row>
    <row r="91" spans="6:14" x14ac:dyDescent="0.25">
      <c r="G91"/>
      <c r="H91"/>
      <c r="J91"/>
      <c r="L91" s="8"/>
      <c r="M91" s="8"/>
      <c r="N91" s="8"/>
    </row>
    <row r="92" spans="6:14" x14ac:dyDescent="0.25">
      <c r="G92"/>
      <c r="H92"/>
      <c r="J92"/>
      <c r="L92" s="8"/>
      <c r="M92" s="8"/>
      <c r="N92" s="8"/>
    </row>
    <row r="93" spans="6:14" x14ac:dyDescent="0.25">
      <c r="G93"/>
      <c r="H93"/>
      <c r="J93"/>
      <c r="L93" s="8"/>
      <c r="M93" s="8"/>
      <c r="N93" s="8"/>
    </row>
    <row r="94" spans="6:14" x14ac:dyDescent="0.25">
      <c r="G94"/>
      <c r="H94"/>
      <c r="J94"/>
      <c r="L94" s="8"/>
      <c r="M94" s="8"/>
      <c r="N94" s="8"/>
    </row>
    <row r="95" spans="6:14" x14ac:dyDescent="0.25">
      <c r="G95"/>
      <c r="H95"/>
      <c r="J95"/>
      <c r="L95" s="8"/>
      <c r="M95" s="8"/>
      <c r="N95" s="8"/>
    </row>
    <row r="96" spans="6:14" x14ac:dyDescent="0.25">
      <c r="G96"/>
      <c r="H96"/>
      <c r="J96"/>
      <c r="L96" s="8"/>
      <c r="M96" s="8"/>
      <c r="N96" s="8"/>
    </row>
    <row r="97" spans="7:14" x14ac:dyDescent="0.25">
      <c r="G97"/>
      <c r="H97"/>
      <c r="J97"/>
      <c r="L97" s="8"/>
      <c r="M97" s="8"/>
      <c r="N97" s="8"/>
    </row>
    <row r="98" spans="7:14" x14ac:dyDescent="0.25">
      <c r="G98"/>
      <c r="H98"/>
      <c r="J98"/>
      <c r="L98" s="8"/>
      <c r="M98" s="8"/>
      <c r="N98" s="8"/>
    </row>
    <row r="99" spans="7:14" x14ac:dyDescent="0.25">
      <c r="G99"/>
      <c r="H99"/>
      <c r="L99" s="8"/>
      <c r="M99" s="8"/>
      <c r="N99" s="8"/>
    </row>
    <row r="100" spans="7:14" x14ac:dyDescent="0.25">
      <c r="G100"/>
      <c r="H100"/>
      <c r="L100" s="8"/>
      <c r="M100" s="8"/>
      <c r="N100" s="8"/>
    </row>
    <row r="101" spans="7:14" x14ac:dyDescent="0.25">
      <c r="G101"/>
      <c r="H101"/>
      <c r="L101" s="8"/>
      <c r="M101" s="8"/>
      <c r="N101" s="8"/>
    </row>
    <row r="102" spans="7:14" x14ac:dyDescent="0.25">
      <c r="G102"/>
      <c r="H102"/>
      <c r="L102" s="8"/>
      <c r="M102" s="8"/>
      <c r="N102" s="8"/>
    </row>
    <row r="103" spans="7:14" x14ac:dyDescent="0.25">
      <c r="G103"/>
      <c r="H103"/>
      <c r="L103" s="8"/>
      <c r="M103" s="8"/>
      <c r="N103" s="8"/>
    </row>
    <row r="104" spans="7:14" x14ac:dyDescent="0.25">
      <c r="G104"/>
      <c r="H104"/>
      <c r="L104" s="8"/>
      <c r="M104" s="8"/>
      <c r="N104" s="8"/>
    </row>
    <row r="105" spans="7:14" x14ac:dyDescent="0.25">
      <c r="G105"/>
      <c r="H105"/>
      <c r="L105" s="8"/>
      <c r="M105" s="8"/>
      <c r="N105" s="8"/>
    </row>
    <row r="106" spans="7:14" x14ac:dyDescent="0.25">
      <c r="G106"/>
      <c r="H106"/>
      <c r="L106" s="8"/>
      <c r="M106" s="8"/>
      <c r="N106" s="8"/>
    </row>
    <row r="107" spans="7:14" x14ac:dyDescent="0.25">
      <c r="G107"/>
      <c r="H107"/>
      <c r="L107" s="8"/>
      <c r="M107" s="8"/>
      <c r="N107" s="8"/>
    </row>
    <row r="108" spans="7:14" x14ac:dyDescent="0.25">
      <c r="G108"/>
      <c r="H108"/>
      <c r="L108" s="8"/>
      <c r="M108" s="8"/>
      <c r="N108" s="8"/>
    </row>
    <row r="109" spans="7:14" x14ac:dyDescent="0.25">
      <c r="G109"/>
      <c r="H109"/>
      <c r="L109" s="8"/>
      <c r="N109" s="8"/>
    </row>
    <row r="110" spans="7:14" x14ac:dyDescent="0.25">
      <c r="G110"/>
      <c r="H110"/>
      <c r="L110" s="8"/>
      <c r="N110" s="8"/>
    </row>
    <row r="111" spans="7:14" x14ac:dyDescent="0.25">
      <c r="G111"/>
      <c r="H111"/>
      <c r="L111" s="8"/>
      <c r="N111" s="8"/>
    </row>
    <row r="112" spans="7:14" x14ac:dyDescent="0.25">
      <c r="G112"/>
      <c r="H112"/>
      <c r="L112" s="8"/>
      <c r="N112" s="8"/>
    </row>
    <row r="113" spans="7:14" x14ac:dyDescent="0.25">
      <c r="G113"/>
      <c r="H113"/>
      <c r="L113" s="8"/>
      <c r="N113" s="8"/>
    </row>
    <row r="114" spans="7:14" x14ac:dyDescent="0.25">
      <c r="G114"/>
      <c r="H114"/>
      <c r="L114" s="8"/>
      <c r="N114" s="8"/>
    </row>
    <row r="115" spans="7:14" x14ac:dyDescent="0.25">
      <c r="G115"/>
      <c r="H115"/>
      <c r="L115" s="8"/>
      <c r="N115" s="8"/>
    </row>
    <row r="116" spans="7:14" x14ac:dyDescent="0.25">
      <c r="G116"/>
      <c r="H116"/>
      <c r="L116" s="8"/>
      <c r="N116" s="8"/>
    </row>
    <row r="117" spans="7:14" x14ac:dyDescent="0.25">
      <c r="G117"/>
      <c r="H117"/>
      <c r="L117" s="8"/>
      <c r="N117" s="8"/>
    </row>
    <row r="118" spans="7:14" x14ac:dyDescent="0.25">
      <c r="G118"/>
      <c r="H118"/>
      <c r="L118" s="8"/>
      <c r="N118" s="8"/>
    </row>
    <row r="119" spans="7:14" x14ac:dyDescent="0.25">
      <c r="G119"/>
      <c r="H119"/>
      <c r="L119" s="8"/>
      <c r="N119" s="8"/>
    </row>
    <row r="120" spans="7:14" x14ac:dyDescent="0.25">
      <c r="H120"/>
      <c r="L120" s="8"/>
      <c r="N120" s="8"/>
    </row>
    <row r="121" spans="7:14" x14ac:dyDescent="0.25">
      <c r="H121"/>
      <c r="L121" s="8"/>
      <c r="N121" s="8"/>
    </row>
    <row r="122" spans="7:14" x14ac:dyDescent="0.25">
      <c r="H122"/>
      <c r="L122" s="8"/>
      <c r="N122" s="8"/>
    </row>
    <row r="123" spans="7:14" x14ac:dyDescent="0.25">
      <c r="H123"/>
      <c r="L123" s="8"/>
      <c r="N123" s="8"/>
    </row>
    <row r="124" spans="7:14" x14ac:dyDescent="0.25">
      <c r="H124"/>
      <c r="L124" s="8"/>
      <c r="N124" s="8"/>
    </row>
    <row r="125" spans="7:14" x14ac:dyDescent="0.25">
      <c r="H125"/>
      <c r="L125" s="8"/>
      <c r="N125" s="8"/>
    </row>
    <row r="126" spans="7:14" x14ac:dyDescent="0.25">
      <c r="H126"/>
      <c r="L126" s="8"/>
      <c r="N126" s="8"/>
    </row>
    <row r="127" spans="7:14" x14ac:dyDescent="0.25">
      <c r="H127"/>
      <c r="L127" s="8"/>
      <c r="N127" s="8"/>
    </row>
    <row r="128" spans="7:14" x14ac:dyDescent="0.25">
      <c r="H128"/>
      <c r="L128" s="8"/>
      <c r="N128" s="8"/>
    </row>
    <row r="129" spans="8:14" x14ac:dyDescent="0.25">
      <c r="H129"/>
      <c r="L129" s="8"/>
      <c r="N129" s="8"/>
    </row>
    <row r="130" spans="8:14" x14ac:dyDescent="0.25">
      <c r="H130"/>
      <c r="N130" s="8"/>
    </row>
    <row r="131" spans="8:14" x14ac:dyDescent="0.25">
      <c r="H131"/>
      <c r="N131" s="8"/>
    </row>
    <row r="132" spans="8:14" x14ac:dyDescent="0.25">
      <c r="H132"/>
      <c r="N132" s="8"/>
    </row>
    <row r="133" spans="8:14" x14ac:dyDescent="0.25">
      <c r="H133"/>
      <c r="N133" s="8"/>
    </row>
    <row r="134" spans="8:14" x14ac:dyDescent="0.25">
      <c r="H134"/>
      <c r="N134" s="8"/>
    </row>
    <row r="135" spans="8:14" x14ac:dyDescent="0.25">
      <c r="H135"/>
      <c r="N135" s="8"/>
    </row>
    <row r="136" spans="8:14" x14ac:dyDescent="0.25">
      <c r="H136"/>
      <c r="N136" s="8"/>
    </row>
    <row r="137" spans="8:14" x14ac:dyDescent="0.25">
      <c r="H137"/>
      <c r="N137" s="8"/>
    </row>
    <row r="138" spans="8:14" x14ac:dyDescent="0.25">
      <c r="H138"/>
      <c r="N138" s="8"/>
    </row>
    <row r="139" spans="8:14" x14ac:dyDescent="0.25">
      <c r="H139"/>
      <c r="N139" s="8"/>
    </row>
    <row r="140" spans="8:14" x14ac:dyDescent="0.25">
      <c r="H140"/>
      <c r="N140" s="8"/>
    </row>
    <row r="141" spans="8:14" x14ac:dyDescent="0.25">
      <c r="H141"/>
      <c r="N141" s="8"/>
    </row>
    <row r="142" spans="8:14" x14ac:dyDescent="0.25">
      <c r="H142"/>
      <c r="N142" s="8"/>
    </row>
    <row r="143" spans="8:14" x14ac:dyDescent="0.25">
      <c r="H143"/>
      <c r="N143" s="8"/>
    </row>
    <row r="144" spans="8:14" x14ac:dyDescent="0.25">
      <c r="H144"/>
      <c r="N144" s="8"/>
    </row>
    <row r="145" spans="8:14" x14ac:dyDescent="0.25">
      <c r="H145"/>
      <c r="N145" s="8"/>
    </row>
    <row r="146" spans="8:14" x14ac:dyDescent="0.25">
      <c r="H146"/>
      <c r="N146" s="8"/>
    </row>
    <row r="147" spans="8:14" x14ac:dyDescent="0.25">
      <c r="H147"/>
      <c r="N147" s="8"/>
    </row>
    <row r="148" spans="8:14" x14ac:dyDescent="0.25">
      <c r="N148" s="8"/>
    </row>
    <row r="149" spans="8:14" x14ac:dyDescent="0.25">
      <c r="N149" s="8"/>
    </row>
    <row r="150" spans="8:14" x14ac:dyDescent="0.25">
      <c r="N150" s="8"/>
    </row>
    <row r="151" spans="8:14" x14ac:dyDescent="0.25">
      <c r="N151" s="8"/>
    </row>
    <row r="152" spans="8:14" x14ac:dyDescent="0.25">
      <c r="N15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5BE2-CACC-421D-B484-8EB0EE3DF01D}">
  <dimension ref="A1:I17"/>
  <sheetViews>
    <sheetView workbookViewId="0">
      <selection activeCell="D23" sqref="D23"/>
    </sheetView>
  </sheetViews>
  <sheetFormatPr defaultRowHeight="15" x14ac:dyDescent="0.25"/>
  <cols>
    <col min="1" max="2" width="13.42578125" customWidth="1"/>
    <col min="3" max="3" width="22" bestFit="1" customWidth="1"/>
    <col min="4" max="4" width="12" bestFit="1" customWidth="1"/>
    <col min="5" max="5" width="13.140625" bestFit="1" customWidth="1"/>
    <col min="6" max="6" width="14" customWidth="1"/>
  </cols>
  <sheetData>
    <row r="1" spans="1:9" x14ac:dyDescent="0.25">
      <c r="A1" t="s">
        <v>28</v>
      </c>
    </row>
    <row r="2" spans="1:9" x14ac:dyDescent="0.25">
      <c r="A2" t="s">
        <v>27</v>
      </c>
    </row>
    <row r="3" spans="1:9" x14ac:dyDescent="0.25">
      <c r="A3" t="s">
        <v>43</v>
      </c>
    </row>
    <row r="5" spans="1:9" x14ac:dyDescent="0.25">
      <c r="F5" s="6"/>
    </row>
    <row r="6" spans="1:9" x14ac:dyDescent="0.25">
      <c r="A6" s="1" t="s">
        <v>0</v>
      </c>
      <c r="B6" s="1" t="s">
        <v>20</v>
      </c>
      <c r="C6" s="1" t="s">
        <v>1</v>
      </c>
      <c r="D6" s="1" t="s">
        <v>8</v>
      </c>
      <c r="E6" s="1" t="s">
        <v>26</v>
      </c>
      <c r="F6" s="7"/>
      <c r="G6" s="2"/>
      <c r="H6" s="2"/>
      <c r="I6" s="2"/>
    </row>
    <row r="7" spans="1:9" x14ac:dyDescent="0.25">
      <c r="A7" t="s">
        <v>4</v>
      </c>
      <c r="B7" t="s">
        <v>9</v>
      </c>
      <c r="C7" s="10">
        <v>0.41413697232937002</v>
      </c>
      <c r="D7">
        <f t="shared" ref="D7:D16" si="0">7-C7</f>
        <v>6.58586302767063</v>
      </c>
      <c r="E7">
        <v>9.4</v>
      </c>
      <c r="F7" s="6"/>
    </row>
    <row r="8" spans="1:9" x14ac:dyDescent="0.25">
      <c r="A8" t="s">
        <v>3</v>
      </c>
      <c r="B8" t="s">
        <v>10</v>
      </c>
      <c r="C8" s="10">
        <v>0.32931354359925702</v>
      </c>
      <c r="D8">
        <f t="shared" si="0"/>
        <v>6.6706864564007429</v>
      </c>
      <c r="E8">
        <v>8</v>
      </c>
      <c r="F8" s="6"/>
    </row>
    <row r="9" spans="1:9" x14ac:dyDescent="0.25">
      <c r="A9" t="s">
        <v>5</v>
      </c>
      <c r="B9" t="s">
        <v>11</v>
      </c>
      <c r="C9" s="10">
        <v>0.66666666699999999</v>
      </c>
      <c r="D9">
        <f t="shared" si="0"/>
        <v>6.3333333329999997</v>
      </c>
      <c r="E9">
        <v>11.8</v>
      </c>
      <c r="F9" s="6"/>
    </row>
    <row r="10" spans="1:9" x14ac:dyDescent="0.25">
      <c r="A10" t="s">
        <v>21</v>
      </c>
      <c r="B10" t="s">
        <v>12</v>
      </c>
      <c r="C10" s="10">
        <v>2.0630448817610598</v>
      </c>
      <c r="D10">
        <f t="shared" si="0"/>
        <v>4.9369551182389397</v>
      </c>
      <c r="E10">
        <v>21.6</v>
      </c>
      <c r="F10" s="6"/>
    </row>
    <row r="11" spans="1:9" x14ac:dyDescent="0.25">
      <c r="A11" t="s">
        <v>6</v>
      </c>
      <c r="B11" t="s">
        <v>13</v>
      </c>
      <c r="C11" s="10">
        <v>0.54166666699999999</v>
      </c>
      <c r="D11">
        <f t="shared" si="0"/>
        <v>6.4583333329999997</v>
      </c>
      <c r="E11">
        <v>8.5</v>
      </c>
      <c r="F11" s="6"/>
    </row>
    <row r="12" spans="1:9" x14ac:dyDescent="0.25">
      <c r="A12" t="s">
        <v>7</v>
      </c>
      <c r="B12" t="s">
        <v>14</v>
      </c>
      <c r="C12" s="10">
        <v>0.25</v>
      </c>
      <c r="D12">
        <f t="shared" si="0"/>
        <v>6.75</v>
      </c>
      <c r="E12">
        <v>10.199999999999999</v>
      </c>
      <c r="F12" s="6"/>
    </row>
    <row r="13" spans="1:9" x14ac:dyDescent="0.25">
      <c r="A13" t="s">
        <v>2</v>
      </c>
      <c r="B13" t="s">
        <v>15</v>
      </c>
      <c r="C13" s="10">
        <v>0.25</v>
      </c>
      <c r="D13">
        <f t="shared" si="0"/>
        <v>6.75</v>
      </c>
      <c r="E13">
        <v>8.6</v>
      </c>
      <c r="F13" s="6"/>
    </row>
    <row r="14" spans="1:9" x14ac:dyDescent="0.25">
      <c r="A14" t="s">
        <v>22</v>
      </c>
      <c r="B14" t="s">
        <v>16</v>
      </c>
      <c r="C14" s="10">
        <v>0.68738598307812204</v>
      </c>
      <c r="D14">
        <f t="shared" si="0"/>
        <v>6.3126140169218781</v>
      </c>
      <c r="E14">
        <v>13</v>
      </c>
      <c r="F14" s="6"/>
    </row>
    <row r="15" spans="1:9" x14ac:dyDescent="0.25">
      <c r="A15" t="s">
        <v>23</v>
      </c>
      <c r="B15" t="s">
        <v>17</v>
      </c>
      <c r="C15" s="10">
        <v>2.5318800448594301</v>
      </c>
      <c r="D15">
        <f t="shared" si="0"/>
        <v>4.4681199551405699</v>
      </c>
      <c r="E15">
        <v>21.1</v>
      </c>
      <c r="F15" s="6"/>
    </row>
    <row r="16" spans="1:9" x14ac:dyDescent="0.25">
      <c r="A16" t="s">
        <v>25</v>
      </c>
      <c r="B16" t="s">
        <v>19</v>
      </c>
      <c r="C16" s="10">
        <v>1.0820666608467799</v>
      </c>
      <c r="D16">
        <f t="shared" si="0"/>
        <v>5.9179333391532198</v>
      </c>
      <c r="E16">
        <v>10.8</v>
      </c>
      <c r="F16" s="6"/>
    </row>
    <row r="17" spans="1:6" x14ac:dyDescent="0.25">
      <c r="A17" t="s">
        <v>24</v>
      </c>
      <c r="B17" t="s">
        <v>18</v>
      </c>
      <c r="E17">
        <v>18.5</v>
      </c>
      <c r="F1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0731-49E3-454D-8B05-8BC2190FC738}">
  <dimension ref="A1:K18"/>
  <sheetViews>
    <sheetView zoomScale="115" zoomScaleNormal="115" workbookViewId="0">
      <selection activeCell="F15" sqref="F15"/>
    </sheetView>
  </sheetViews>
  <sheetFormatPr defaultRowHeight="15" x14ac:dyDescent="0.25"/>
  <cols>
    <col min="1" max="1" width="28.85546875" customWidth="1"/>
    <col min="2" max="2" width="20.28515625" bestFit="1" customWidth="1"/>
    <col min="3" max="3" width="9.7109375" customWidth="1"/>
    <col min="5" max="5" width="16.42578125" customWidth="1"/>
    <col min="6" max="6" width="18" customWidth="1"/>
    <col min="7" max="7" width="17" customWidth="1"/>
    <col min="8" max="8" width="11.42578125" bestFit="1" customWidth="1"/>
    <col min="9" max="9" width="17" bestFit="1" customWidth="1"/>
    <col min="10" max="10" width="13.5703125" bestFit="1" customWidth="1"/>
  </cols>
  <sheetData>
    <row r="1" spans="1:11" x14ac:dyDescent="0.25">
      <c r="A1" t="s">
        <v>28</v>
      </c>
    </row>
    <row r="2" spans="1:11" x14ac:dyDescent="0.25">
      <c r="A2" t="s">
        <v>47</v>
      </c>
    </row>
    <row r="6" spans="1:11" x14ac:dyDescent="0.25">
      <c r="A6" s="1" t="s">
        <v>48</v>
      </c>
      <c r="B6" s="1" t="s">
        <v>46</v>
      </c>
      <c r="C6" s="1" t="s">
        <v>41</v>
      </c>
      <c r="D6" s="1" t="s">
        <v>42</v>
      </c>
    </row>
    <row r="7" spans="1:11" x14ac:dyDescent="0.25">
      <c r="A7" t="s">
        <v>30</v>
      </c>
      <c r="B7" s="4">
        <v>5.1694291671677197</v>
      </c>
      <c r="C7">
        <v>1541</v>
      </c>
      <c r="D7">
        <v>1448</v>
      </c>
      <c r="E7" s="3"/>
      <c r="F7" s="3"/>
      <c r="G7" s="3"/>
      <c r="H7" s="3"/>
      <c r="I7" s="3"/>
    </row>
    <row r="8" spans="1:11" x14ac:dyDescent="0.25">
      <c r="A8" t="s">
        <v>31</v>
      </c>
      <c r="B8" s="4">
        <v>5.1995780306712298</v>
      </c>
      <c r="C8">
        <v>926</v>
      </c>
      <c r="D8" s="5">
        <v>825</v>
      </c>
      <c r="E8" s="3"/>
      <c r="F8" s="3"/>
      <c r="G8" s="3"/>
      <c r="H8" s="3"/>
      <c r="I8" s="3"/>
    </row>
    <row r="9" spans="1:11" x14ac:dyDescent="0.25">
      <c r="A9" t="s">
        <v>45</v>
      </c>
      <c r="B9" s="4">
        <v>8.0430999078515697</v>
      </c>
      <c r="D9" s="5"/>
      <c r="E9" s="3"/>
      <c r="F9" s="3"/>
      <c r="G9" s="3"/>
      <c r="H9" s="3"/>
      <c r="I9" s="3"/>
    </row>
    <row r="10" spans="1:11" x14ac:dyDescent="0.25">
      <c r="A10" t="s">
        <v>32</v>
      </c>
      <c r="B10" s="4">
        <v>4.5244968983122904</v>
      </c>
      <c r="C10">
        <v>830</v>
      </c>
      <c r="D10" s="5">
        <v>728</v>
      </c>
      <c r="E10" s="3"/>
      <c r="F10" s="3"/>
      <c r="G10" s="3"/>
      <c r="H10" s="3"/>
      <c r="I10" s="3"/>
      <c r="K10" s="3"/>
    </row>
    <row r="11" spans="1:11" x14ac:dyDescent="0.25">
      <c r="A11" t="s">
        <v>33</v>
      </c>
      <c r="B11" s="4">
        <v>3.0322556902061302</v>
      </c>
      <c r="C11">
        <v>832</v>
      </c>
      <c r="D11" s="5">
        <v>770.5</v>
      </c>
      <c r="E11" s="3"/>
      <c r="F11" s="3"/>
      <c r="G11" s="3"/>
      <c r="H11" s="3"/>
      <c r="I11" s="3"/>
    </row>
    <row r="12" spans="1:11" x14ac:dyDescent="0.25">
      <c r="A12" t="s">
        <v>34</v>
      </c>
      <c r="B12" s="4">
        <v>1.81754957727544</v>
      </c>
      <c r="C12">
        <v>790</v>
      </c>
      <c r="D12" s="5">
        <v>750</v>
      </c>
      <c r="E12" s="3"/>
      <c r="F12" s="3"/>
      <c r="G12" s="3"/>
      <c r="H12" s="3"/>
      <c r="I12" s="3"/>
    </row>
    <row r="13" spans="1:11" x14ac:dyDescent="0.25">
      <c r="A13" t="s">
        <v>35</v>
      </c>
      <c r="B13" s="4">
        <v>4.2907859944553097</v>
      </c>
      <c r="C13">
        <v>1690</v>
      </c>
      <c r="D13" s="5">
        <v>1532</v>
      </c>
      <c r="E13" s="3"/>
      <c r="F13" s="3"/>
      <c r="G13" s="3"/>
      <c r="H13" s="3"/>
      <c r="I13" s="3"/>
    </row>
    <row r="14" spans="1:11" x14ac:dyDescent="0.25">
      <c r="A14" t="s">
        <v>36</v>
      </c>
      <c r="B14" s="4">
        <v>4.2198602584686302</v>
      </c>
      <c r="C14">
        <v>1350</v>
      </c>
      <c r="D14">
        <v>1180</v>
      </c>
      <c r="E14" s="3"/>
      <c r="F14" s="3"/>
      <c r="G14" s="3"/>
      <c r="H14" s="3"/>
      <c r="I14" s="3"/>
    </row>
    <row r="15" spans="1:11" x14ac:dyDescent="0.25">
      <c r="A15" t="s">
        <v>37</v>
      </c>
      <c r="B15" s="4">
        <v>6.0473494769333502</v>
      </c>
      <c r="C15">
        <v>373.5</v>
      </c>
      <c r="D15" s="5">
        <v>353</v>
      </c>
      <c r="E15" s="3"/>
      <c r="F15" s="3"/>
      <c r="G15" s="3"/>
      <c r="H15" s="3"/>
      <c r="I15" s="3"/>
    </row>
    <row r="16" spans="1:11" x14ac:dyDescent="0.25">
      <c r="A16" t="s">
        <v>38</v>
      </c>
      <c r="B16" s="4">
        <v>4.0813775510203998</v>
      </c>
      <c r="C16">
        <v>1010</v>
      </c>
      <c r="D16">
        <v>922</v>
      </c>
      <c r="E16" s="3"/>
      <c r="F16" s="3"/>
      <c r="G16" s="3"/>
      <c r="H16" s="3"/>
      <c r="I16" s="3"/>
    </row>
    <row r="17" spans="1:9" x14ac:dyDescent="0.25">
      <c r="A17" t="s">
        <v>39</v>
      </c>
      <c r="B17" s="4">
        <v>0.77843758250664297</v>
      </c>
      <c r="C17">
        <v>637</v>
      </c>
      <c r="D17">
        <v>613</v>
      </c>
      <c r="E17" s="3"/>
      <c r="F17" s="3"/>
      <c r="G17" s="3"/>
      <c r="H17" s="3"/>
      <c r="I17" s="3"/>
    </row>
    <row r="18" spans="1:9" x14ac:dyDescent="0.25">
      <c r="A18" t="s">
        <v>40</v>
      </c>
      <c r="B18" s="4">
        <v>4.6087288270596396</v>
      </c>
      <c r="C18">
        <v>1563.5</v>
      </c>
      <c r="D18">
        <v>1450</v>
      </c>
      <c r="E18" s="3"/>
      <c r="F18" s="3"/>
      <c r="G18" s="3"/>
      <c r="H18" s="3"/>
      <c r="I18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EFD0-8423-4968-BFD5-88C31ED30378}">
  <dimension ref="A1:L17"/>
  <sheetViews>
    <sheetView tabSelected="1" workbookViewId="0">
      <selection activeCell="F27" sqref="F27"/>
    </sheetView>
  </sheetViews>
  <sheetFormatPr defaultRowHeight="15" x14ac:dyDescent="0.25"/>
  <cols>
    <col min="1" max="1" width="16.85546875" customWidth="1"/>
    <col min="2" max="2" width="21.5703125" bestFit="1" customWidth="1"/>
    <col min="3" max="3" width="6.7109375" bestFit="1" customWidth="1"/>
    <col min="4" max="4" width="7.7109375" bestFit="1" customWidth="1"/>
    <col min="5" max="5" width="5" bestFit="1" customWidth="1"/>
    <col min="6" max="6" width="7.7109375" bestFit="1" customWidth="1"/>
    <col min="7" max="7" width="9" bestFit="1" customWidth="1"/>
    <col min="8" max="8" width="11.42578125" customWidth="1"/>
    <col min="9" max="9" width="10.42578125" bestFit="1" customWidth="1"/>
    <col min="10" max="10" width="8.85546875" bestFit="1" customWidth="1"/>
    <col min="11" max="11" width="7" bestFit="1" customWidth="1"/>
    <col min="12" max="12" width="11.85546875" customWidth="1"/>
  </cols>
  <sheetData>
    <row r="1" spans="1:12" x14ac:dyDescent="0.25">
      <c r="A1" t="s">
        <v>28</v>
      </c>
    </row>
    <row r="2" spans="1:12" x14ac:dyDescent="0.25">
      <c r="A2" t="s">
        <v>44</v>
      </c>
    </row>
    <row r="6" spans="1:12" x14ac:dyDescent="0.25">
      <c r="A6" s="1" t="s">
        <v>29</v>
      </c>
      <c r="B6" s="1" t="s">
        <v>49</v>
      </c>
      <c r="C6" s="1" t="s">
        <v>4</v>
      </c>
      <c r="D6" s="1" t="s">
        <v>5</v>
      </c>
      <c r="E6" s="1" t="s">
        <v>3</v>
      </c>
      <c r="F6" s="1" t="s">
        <v>6</v>
      </c>
      <c r="G6" s="1" t="s">
        <v>7</v>
      </c>
      <c r="H6" s="1" t="s">
        <v>2</v>
      </c>
      <c r="I6" s="1" t="s">
        <v>25</v>
      </c>
      <c r="J6" s="1" t="s">
        <v>22</v>
      </c>
      <c r="K6" s="1" t="s">
        <v>21</v>
      </c>
      <c r="L6" s="1" t="s">
        <v>23</v>
      </c>
    </row>
    <row r="7" spans="1:12" x14ac:dyDescent="0.25">
      <c r="A7" t="s">
        <v>30</v>
      </c>
      <c r="B7" t="s">
        <v>4</v>
      </c>
      <c r="C7" t="s">
        <v>4</v>
      </c>
      <c r="I7" t="s">
        <v>25</v>
      </c>
      <c r="K7" t="s">
        <v>21</v>
      </c>
      <c r="L7" t="s">
        <v>23</v>
      </c>
    </row>
    <row r="8" spans="1:12" x14ac:dyDescent="0.25">
      <c r="A8" t="s">
        <v>31</v>
      </c>
      <c r="B8" t="s">
        <v>4</v>
      </c>
      <c r="C8" t="s">
        <v>4</v>
      </c>
      <c r="I8" t="s">
        <v>25</v>
      </c>
      <c r="K8" t="s">
        <v>21</v>
      </c>
      <c r="L8" t="s">
        <v>23</v>
      </c>
    </row>
    <row r="9" spans="1:12" x14ac:dyDescent="0.25">
      <c r="A9" t="s">
        <v>32</v>
      </c>
      <c r="B9" t="s">
        <v>4</v>
      </c>
      <c r="C9" t="s">
        <v>4</v>
      </c>
      <c r="I9" t="s">
        <v>25</v>
      </c>
      <c r="K9" t="s">
        <v>21</v>
      </c>
      <c r="L9" t="s">
        <v>23</v>
      </c>
    </row>
    <row r="10" spans="1:12" x14ac:dyDescent="0.25">
      <c r="A10" t="s">
        <v>33</v>
      </c>
      <c r="B10" t="s">
        <v>5</v>
      </c>
      <c r="D10" t="s">
        <v>5</v>
      </c>
      <c r="I10" t="s">
        <v>25</v>
      </c>
      <c r="K10" t="s">
        <v>21</v>
      </c>
      <c r="L10" t="s">
        <v>23</v>
      </c>
    </row>
    <row r="11" spans="1:12" x14ac:dyDescent="0.25">
      <c r="A11" t="s">
        <v>34</v>
      </c>
      <c r="B11" t="s">
        <v>5</v>
      </c>
      <c r="D11" t="s">
        <v>5</v>
      </c>
      <c r="I11" t="s">
        <v>25</v>
      </c>
      <c r="K11" t="s">
        <v>21</v>
      </c>
      <c r="L11" t="s">
        <v>23</v>
      </c>
    </row>
    <row r="12" spans="1:12" x14ac:dyDescent="0.25">
      <c r="A12" t="s">
        <v>35</v>
      </c>
      <c r="B12" t="s">
        <v>3</v>
      </c>
      <c r="E12" t="s">
        <v>3</v>
      </c>
      <c r="I12" t="s">
        <v>25</v>
      </c>
      <c r="K12" t="s">
        <v>21</v>
      </c>
      <c r="L12" t="s">
        <v>23</v>
      </c>
    </row>
    <row r="13" spans="1:12" x14ac:dyDescent="0.25">
      <c r="A13" t="s">
        <v>36</v>
      </c>
      <c r="B13" t="s">
        <v>3</v>
      </c>
      <c r="E13" t="s">
        <v>3</v>
      </c>
      <c r="I13" t="s">
        <v>25</v>
      </c>
      <c r="K13" t="s">
        <v>21</v>
      </c>
      <c r="L13" t="s">
        <v>23</v>
      </c>
    </row>
    <row r="14" spans="1:12" x14ac:dyDescent="0.25">
      <c r="A14" t="s">
        <v>37</v>
      </c>
      <c r="B14" t="s">
        <v>6</v>
      </c>
      <c r="F14" t="s">
        <v>6</v>
      </c>
      <c r="K14" t="s">
        <v>21</v>
      </c>
      <c r="L14" t="s">
        <v>23</v>
      </c>
    </row>
    <row r="15" spans="1:12" x14ac:dyDescent="0.25">
      <c r="A15" t="s">
        <v>38</v>
      </c>
      <c r="B15" t="s">
        <v>7</v>
      </c>
      <c r="G15" t="s">
        <v>7</v>
      </c>
      <c r="J15" t="s">
        <v>22</v>
      </c>
      <c r="L15" t="s">
        <v>23</v>
      </c>
    </row>
    <row r="16" spans="1:12" x14ac:dyDescent="0.25">
      <c r="A16" t="s">
        <v>39</v>
      </c>
      <c r="B16" t="s">
        <v>7</v>
      </c>
      <c r="G16" t="s">
        <v>7</v>
      </c>
      <c r="J16" t="s">
        <v>22</v>
      </c>
      <c r="L16" t="s">
        <v>23</v>
      </c>
    </row>
    <row r="17" spans="1:12" x14ac:dyDescent="0.25">
      <c r="A17" t="s">
        <v>40</v>
      </c>
      <c r="B17" t="s">
        <v>2</v>
      </c>
      <c r="H17" t="s">
        <v>2</v>
      </c>
      <c r="J17" t="s">
        <v>22</v>
      </c>
      <c r="L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events</vt:lpstr>
      <vt:lpstr>control_points</vt:lpstr>
      <vt:lpstr>reservoirs</vt:lpstr>
      <vt:lpstr>alternatives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Beaurivage, Sam F CIV NWP</dc:creator>
  <cp:lastModifiedBy>Beaurivage, Sam F CIV NWP</cp:lastModifiedBy>
  <dcterms:created xsi:type="dcterms:W3CDTF">2026-10-09T20:47:30Z</dcterms:created>
  <dcterms:modified xsi:type="dcterms:W3CDTF">2026-10-27T16:25:25Z</dcterms:modified>
</cp:coreProperties>
</file>