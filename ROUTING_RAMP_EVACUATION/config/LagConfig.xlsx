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ing\FIRO\RoutingTimes\config\"/>
    </mc:Choice>
  </mc:AlternateContent>
  <xr:revisionPtr revIDLastSave="0" documentId="13_ncr:1_{B18E3BF0-1B9F-457E-BD0A-FCA9DEC82A87}" xr6:coauthVersionLast="47" xr6:coauthVersionMax="47" xr10:uidLastSave="{00000000-0000-0000-0000-000000000000}"/>
  <bookViews>
    <workbookView xWindow="5760" yWindow="3330" windowWidth="21600" windowHeight="11280" activeTab="4" xr2:uid="{28D98530-9A78-4085-990E-6D84D2F505AB}"/>
  </bookViews>
  <sheets>
    <sheet name="Readme_AboutThisFile" sheetId="8" r:id="rId1"/>
    <sheet name="Events" sheetId="6" r:id="rId2"/>
    <sheet name="LocalFlows" sheetId="15" r:id="rId3"/>
    <sheet name="TravelTimeReaches" sheetId="13" r:id="rId4"/>
    <sheet name="ResvMaxRel" sheetId="14" r:id="rId5"/>
  </sheets>
  <definedNames>
    <definedName name="_xlnm._FilterDatabase" localSheetId="2" hidden="1">LocalFlows!$A$6:$I$51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6" l="1"/>
  <c r="D9" i="6"/>
  <c r="D10" i="6"/>
  <c r="D11" i="6"/>
  <c r="D12" i="6"/>
  <c r="D13" i="6"/>
  <c r="D14" i="6"/>
  <c r="D15" i="6"/>
  <c r="D16" i="6"/>
  <c r="D17" i="6"/>
  <c r="D18" i="6"/>
  <c r="D8" i="6"/>
  <c r="B26" i="13"/>
  <c r="B25" i="13"/>
  <c r="B24" i="13"/>
  <c r="B23" i="13"/>
  <c r="B22" i="13"/>
  <c r="B19" i="13"/>
  <c r="B18" i="13"/>
  <c r="B16" i="13"/>
  <c r="B8" i="13"/>
  <c r="B9" i="13"/>
  <c r="B10" i="13"/>
  <c r="B11" i="13"/>
  <c r="B12" i="13"/>
  <c r="B13" i="13"/>
  <c r="B14" i="13"/>
  <c r="B15" i="13"/>
  <c r="B17" i="13"/>
  <c r="B20" i="13"/>
  <c r="B21" i="13"/>
</calcChain>
</file>

<file path=xl/sharedStrings.xml><?xml version="1.0" encoding="utf-8"?>
<sst xmlns="http://schemas.openxmlformats.org/spreadsheetml/2006/main" count="660" uniqueCount="259">
  <si>
    <t>Notes</t>
  </si>
  <si>
    <t>Jasper</t>
  </si>
  <si>
    <t>Goshen</t>
  </si>
  <si>
    <t>Vida</t>
  </si>
  <si>
    <t>Harrisburg</t>
  </si>
  <si>
    <t>Monroe</t>
  </si>
  <si>
    <t>Albany</t>
  </si>
  <si>
    <t>Jefferson</t>
  </si>
  <si>
    <t>Salem</t>
  </si>
  <si>
    <t>Waterloo</t>
  </si>
  <si>
    <t>Mehama</t>
  </si>
  <si>
    <t>The top 5 lines of this sheet are reserved for descriptive comments. The headers should be in line 6 and data in row 7.</t>
  </si>
  <si>
    <t>Muskingum</t>
  </si>
  <si>
    <t>ModPuls</t>
  </si>
  <si>
    <t>EventName</t>
  </si>
  <si>
    <t>StartTime</t>
  </si>
  <si>
    <t>EndTime</t>
  </si>
  <si>
    <t>StartTime and EndTime should be in format "ddMMMYYYY HH:MM:00", like 03JAN2006 00:00:00</t>
  </si>
  <si>
    <t>Jan 2006</t>
  </si>
  <si>
    <t>Contains the events to be processed for routing comparisons</t>
  </si>
  <si>
    <t>DO NOT USE 24:00, use 00:00 instead.</t>
  </si>
  <si>
    <t>Feb 1996</t>
  </si>
  <si>
    <t>03Feb1996 00:00:00</t>
  </si>
  <si>
    <t>14Feb1996 00:00:00</t>
  </si>
  <si>
    <t>Jan 1997</t>
  </si>
  <si>
    <t>24Dec1996 00:00:00</t>
  </si>
  <si>
    <t>05Jan1997 00:00:00</t>
  </si>
  <si>
    <t>Jan 2012</t>
  </si>
  <si>
    <t>24Jan2012 00:00:00</t>
  </si>
  <si>
    <t>16Jan2012 00:00:00</t>
  </si>
  <si>
    <t>03Jan1999 00:00:00</t>
  </si>
  <si>
    <t>Apr 2019</t>
  </si>
  <si>
    <t>06Apr2019 00:00:00</t>
  </si>
  <si>
    <t>16Apr2019 00:00:00</t>
  </si>
  <si>
    <t>30Dec2005 00:00:00</t>
  </si>
  <si>
    <t>Nov 1996</t>
  </si>
  <si>
    <t>17Nov1996 00:00:00</t>
  </si>
  <si>
    <t>24Nov1996 00:00:00</t>
  </si>
  <si>
    <t>Dec 1964</t>
  </si>
  <si>
    <t>Jan 1943</t>
  </si>
  <si>
    <t>Feb 1961</t>
  </si>
  <si>
    <t>15Jan2006 00:00:00</t>
  </si>
  <si>
    <t>Dec 1945</t>
  </si>
  <si>
    <t>27Dec1945 00:00:00</t>
  </si>
  <si>
    <t>15Feb1961 00:00:00</t>
  </si>
  <si>
    <t>25Dec1942 00:00:00</t>
  </si>
  <si>
    <t>09Feb1961 00:00:00</t>
  </si>
  <si>
    <t>28Dec1964 00:00:00</t>
  </si>
  <si>
    <t>04Jan1943 00:00:00</t>
  </si>
  <si>
    <t>01Jan1946 00:00:00</t>
  </si>
  <si>
    <t>21Dec1964 00:00:00</t>
  </si>
  <si>
    <t>Dec 1998</t>
  </si>
  <si>
    <t>26Dec1998 00:00:00</t>
  </si>
  <si>
    <t>28Dec1955 00:00:00</t>
  </si>
  <si>
    <t>Dec 1955</t>
  </si>
  <si>
    <t>20Dec1955 00:00:00</t>
  </si>
  <si>
    <t>This file is inputs for the Python script "RoutingComparisons.py"</t>
  </si>
  <si>
    <t>It contains all the configuration needed to do a streamflow routing comparison.</t>
  </si>
  <si>
    <t>Each tab is read by the python code and used to do the compute.</t>
  </si>
  <si>
    <t>Tabs:</t>
  </si>
  <si>
    <t>Events</t>
  </si>
  <si>
    <t>Contains which flood events we want to do comparisons at</t>
  </si>
  <si>
    <t>Reaches</t>
  </si>
  <si>
    <t>Contains basic info about routing reaches and connectivity from upstream to downstream. Actual routing parameters are linked in the Muskingum and ModPuls sheets.</t>
  </si>
  <si>
    <t>Junctions</t>
  </si>
  <si>
    <t>Basic info about junctions where reaches start and stop. Includes time series mapping for observed data and comparison datasets.</t>
  </si>
  <si>
    <t>MetricColors</t>
  </si>
  <si>
    <t>Used by the python code to set colors in the plots for various metrics.</t>
  </si>
  <si>
    <t>Linked to the Reaches tab. Reaches with Muskingum routing reaches</t>
  </si>
  <si>
    <t>Linked to the Reaches tab. Reaches with ModPuls routing reaches</t>
  </si>
  <si>
    <t>27Dec1955 00:00:00</t>
  </si>
  <si>
    <t>All these events have Newberg flows</t>
  </si>
  <si>
    <t>07Jan2006 00:00:00</t>
  </si>
  <si>
    <t>Dec 2015</t>
  </si>
  <si>
    <t>08Dec2015 00:00:00</t>
  </si>
  <si>
    <t>Jan 2009</t>
  </si>
  <si>
    <t>29Dec2008 00:00:00</t>
  </si>
  <si>
    <t>Jan 2011</t>
  </si>
  <si>
    <t>15Jan2011 00:00:00</t>
  </si>
  <si>
    <t>Oregon City events (pre-Newberg gage)</t>
  </si>
  <si>
    <t>21Dec1964 02:00:00</t>
  </si>
  <si>
    <t>Jan 1974</t>
  </si>
  <si>
    <t>14Jan1974 00:00:00</t>
  </si>
  <si>
    <t>Typical 12 events used</t>
  </si>
  <si>
    <t>Greens Bridge events</t>
  </si>
  <si>
    <t>27Dec2008 00:00:00</t>
  </si>
  <si>
    <t>08Jan2009 00:00:00</t>
  </si>
  <si>
    <t>12Jan2011 00:00:00</t>
  </si>
  <si>
    <t>23Jan2011 00:00:00</t>
  </si>
  <si>
    <t>17Dec2015 00:00:00</t>
  </si>
  <si>
    <t>20Dec2015 00:00:00</t>
  </si>
  <si>
    <t>Apr 2018</t>
  </si>
  <si>
    <t>07Apr2018 00:00:00</t>
  </si>
  <si>
    <t>11Apr2018 00:00:00</t>
  </si>
  <si>
    <t>Jan 1989</t>
  </si>
  <si>
    <t>09Jan1989 00:00:00</t>
  </si>
  <si>
    <t>17Jan1989 00:00:00</t>
  </si>
  <si>
    <t>Jan 1990</t>
  </si>
  <si>
    <t>06Jan1990 00:00:00</t>
  </si>
  <si>
    <t>15Jan1990 00:00:00</t>
  </si>
  <si>
    <t>16Dec2015 00:00:00</t>
  </si>
  <si>
    <t>03Jan2016 00:00:00</t>
  </si>
  <si>
    <t>27Dec1964 00:00:00</t>
  </si>
  <si>
    <t>Monroe events</t>
  </si>
  <si>
    <t>28Dec2015 00:00:00</t>
  </si>
  <si>
    <t>07Jan2009 00:00:00</t>
  </si>
  <si>
    <t>22Jan2011 00:00:00</t>
  </si>
  <si>
    <t>20Jan1974 00:00:00</t>
  </si>
  <si>
    <t>Willamette Falls</t>
  </si>
  <si>
    <t>ID</t>
  </si>
  <si>
    <t>Start_Location</t>
  </si>
  <si>
    <t>End_Location</t>
  </si>
  <si>
    <t>Travel_Time_Reach_Name</t>
  </si>
  <si>
    <t>Foster</t>
  </si>
  <si>
    <t>SOP_Hours</t>
  </si>
  <si>
    <t>Hills Creek to Lookout Point</t>
  </si>
  <si>
    <t>Hills Creek</t>
  </si>
  <si>
    <t>Fall Creek</t>
  </si>
  <si>
    <t>Dorena</t>
  </si>
  <si>
    <t>Cottage Grove</t>
  </si>
  <si>
    <t>Blue River</t>
  </si>
  <si>
    <t>Cougar</t>
  </si>
  <si>
    <t>Fern Ridge</t>
  </si>
  <si>
    <t>Compute?</t>
  </si>
  <si>
    <t>Dexter</t>
  </si>
  <si>
    <t>Big Cliff</t>
  </si>
  <si>
    <t>Reservoir</t>
  </si>
  <si>
    <t>Lookout Point</t>
  </si>
  <si>
    <t>Green Peter</t>
  </si>
  <si>
    <t>Detroit</t>
  </si>
  <si>
    <t>NormMaxRel</t>
  </si>
  <si>
    <t>Normal Max Release for each project sourced from the SOP. This is normal max, not real max</t>
  </si>
  <si>
    <t>PreReleaseStopTime</t>
  </si>
  <si>
    <t>TRSO_Thomas Creek nr Scio</t>
  </si>
  <si>
    <t>Known Flow</t>
  </si>
  <si>
    <t>shared/Zero Flow record.dss</t>
  </si>
  <si>
    <t>ZERO</t>
  </si>
  <si>
    <t>FLOW</t>
  </si>
  <si>
    <t>1DAY</t>
  </si>
  <si>
    <t>DUMMY</t>
  </si>
  <si>
    <t>Coburg_HMSsub_McKenzieRv_S10</t>
  </si>
  <si>
    <t>HMSsub_NFMFWillametteRv_S10</t>
  </si>
  <si>
    <t>HMSsub_MFWillametteRv_S40</t>
  </si>
  <si>
    <t>ALBO_ Albany_HMSsub_WillametteRv_S60</t>
  </si>
  <si>
    <t>shared/MeldedHourlyDaily_WY1982-2019.dss</t>
  </si>
  <si>
    <t xml:space="preserve"> </t>
  </si>
  <si>
    <t>ALBANY</t>
  </si>
  <si>
    <t>FLOW-LOC</t>
  </si>
  <si>
    <t>1HOUR</t>
  </si>
  <si>
    <t>MELDED_HOURLY_DAILY</t>
  </si>
  <si>
    <t>OCUO_Oregon City_HMSsub_WillametteRv_S30</t>
  </si>
  <si>
    <t>WILLAMETTE FALLS</t>
  </si>
  <si>
    <t>Willamette_at Wilsonville</t>
  </si>
  <si>
    <t>NBGO_Newberg_HMSsub_WillametteRv_S40</t>
  </si>
  <si>
    <t>SLMO_Salem_HMSsub_WillametteRv_S50</t>
  </si>
  <si>
    <t>SALEM</t>
  </si>
  <si>
    <t>WTLO_Waterloo_HMSsub_SSantiamRv_S15</t>
  </si>
  <si>
    <t>WATERLOO</t>
  </si>
  <si>
    <t>MEHO_Mehama_HMSsub_NSantiamRv_S10</t>
  </si>
  <si>
    <t>MEHAMA</t>
  </si>
  <si>
    <t>LSMO_Little North Santiam at Mehama</t>
  </si>
  <si>
    <t>NSJO_Greens Bridge_HMSsub_NSantiamRv_S05</t>
  </si>
  <si>
    <t>No Santiam+So Santiam_Local_NSR_S07</t>
  </si>
  <si>
    <t>No Santiam+So Santiam_Local_SSR_S08</t>
  </si>
  <si>
    <t>JFFO Santiam_at Jefferson loc</t>
  </si>
  <si>
    <t>JEFFERSON</t>
  </si>
  <si>
    <t>PHIO_ Philomath_HMSsub_MarysRV_S70</t>
  </si>
  <si>
    <t>PHILOMATH</t>
  </si>
  <si>
    <t>FLOW-IN</t>
  </si>
  <si>
    <t>CORO_Corvallis_HMSsub_WillametteRv_S70</t>
  </si>
  <si>
    <t>MNRO_Monroe_HMSsub_LongTomRv_S10</t>
  </si>
  <si>
    <t>MONROE</t>
  </si>
  <si>
    <t>HARO_Harrisburg_HMSsub_WillametteRv_S80</t>
  </si>
  <si>
    <t>HARRISBURG</t>
  </si>
  <si>
    <t>McKenzie+SF McKenzie_HMSsub_McKenzieRV_S20</t>
  </si>
  <si>
    <t>VIDO_Vida_HMSsub_McKenzieRv_S18</t>
  </si>
  <si>
    <t>VIDA</t>
  </si>
  <si>
    <t>MCZO_McKenzie nr Walterville_HMSsub_McKenzieRv_S15</t>
  </si>
  <si>
    <t>EUGO_Willamette at Eugene</t>
  </si>
  <si>
    <t>GOSO_Goshen_HMSsub_CFWillametteRv_S10</t>
  </si>
  <si>
    <t>GOSHEN</t>
  </si>
  <si>
    <t>JASO_Jasper_HMSsub_MFWillametteRv_S10</t>
  </si>
  <si>
    <t>JASPER</t>
  </si>
  <si>
    <t>Big Cliff Local Inflow_HMSsub_NSantiamRv_S15</t>
  </si>
  <si>
    <t>BIG CLIFF</t>
  </si>
  <si>
    <t>Detroit Inflow</t>
  </si>
  <si>
    <t>DETROIT</t>
  </si>
  <si>
    <t>Foster Local Inflow_HMSsub_SSantiamRv_S20</t>
  </si>
  <si>
    <t>FOSTER</t>
  </si>
  <si>
    <t>Green Peter Inflow_HMSsub_SSantiamRv_S30</t>
  </si>
  <si>
    <t>GREEN PETER</t>
  </si>
  <si>
    <t>Fern Ridge Inflow_HMSsub_LongTomRv_S20</t>
  </si>
  <si>
    <t>FERN RIDGE</t>
  </si>
  <si>
    <t>Blue River Inflow_HMSsub_BlueRv_S10</t>
  </si>
  <si>
    <t>BLUE RIVER</t>
  </si>
  <si>
    <t>Cougar Inflow_HMSsub_SFMcKenzieRv_S10</t>
  </si>
  <si>
    <t>COUGAR</t>
  </si>
  <si>
    <t>Cottage Grove Inflow_HMSsub_CFWillametteRV_S20</t>
  </si>
  <si>
    <t>COTTAGE GROVE</t>
  </si>
  <si>
    <t>Dorena Inflow_HMSsub_RowRv_S10</t>
  </si>
  <si>
    <t>DORENA</t>
  </si>
  <si>
    <t>Fall Creek Inflow_HMSsub_FallCk_S10</t>
  </si>
  <si>
    <t>FALL CREEK</t>
  </si>
  <si>
    <t>Dexter Local Inflow_HMSsub_MFWillametteRVS20</t>
  </si>
  <si>
    <t>DEXTER</t>
  </si>
  <si>
    <t>Lookout Point Local Inflow_HMSsub_MFWillametteRV_S60</t>
  </si>
  <si>
    <t>LOOKOUT POINT</t>
  </si>
  <si>
    <t>Hills Creek Inflow_HMSsub_ MFWillametteRv_S60</t>
  </si>
  <si>
    <t>HILLS CREEK</t>
  </si>
  <si>
    <t>TRBO_Trail Bridge Inflow</t>
  </si>
  <si>
    <t>TRAIL BRIDGE</t>
  </si>
  <si>
    <t>CANO_Molalla River at Canby_Local_JMolaR_S06</t>
  </si>
  <si>
    <t>CANBY</t>
  </si>
  <si>
    <t>SUVO_Suver_HMSsub_LuckiamuteRv_S10</t>
  </si>
  <si>
    <t>SUVER</t>
  </si>
  <si>
    <t>AURO_Pudding River nr Aurora</t>
  </si>
  <si>
    <t>AURORA</t>
  </si>
  <si>
    <t>MCMO_McMinnville_Local_JYamhR_S01</t>
  </si>
  <si>
    <t>MCMINNVILLE</t>
  </si>
  <si>
    <t>WSLO_West Linn_HMSsub_TualatinRv_S10</t>
  </si>
  <si>
    <t>WEST LINN</t>
  </si>
  <si>
    <t>ResSimLocalFlowName</t>
  </si>
  <si>
    <t>DssFile</t>
  </si>
  <si>
    <t>aPart</t>
  </si>
  <si>
    <t>bPart</t>
  </si>
  <si>
    <t>cPart</t>
  </si>
  <si>
    <t>ePart</t>
  </si>
  <si>
    <t>fPart</t>
  </si>
  <si>
    <t>ParamThing</t>
  </si>
  <si>
    <t>JunctionName_HMS</t>
  </si>
  <si>
    <t>Nowhere</t>
  </si>
  <si>
    <t>Willamette_OregonCity</t>
  </si>
  <si>
    <t>Philomath</t>
  </si>
  <si>
    <t>Big Cliff_In</t>
  </si>
  <si>
    <t>Detroit_Out</t>
  </si>
  <si>
    <t>Foster_In</t>
  </si>
  <si>
    <t>Green Peter_Out</t>
  </si>
  <si>
    <t>FernRidge_Out</t>
  </si>
  <si>
    <t>BlueRiver_Out</t>
  </si>
  <si>
    <t>Cougar_Out</t>
  </si>
  <si>
    <t>CottageGrove_Out</t>
  </si>
  <si>
    <t>Dorena_Out</t>
  </si>
  <si>
    <t>FallCreek_Out</t>
  </si>
  <si>
    <t>Dexter_In</t>
  </si>
  <si>
    <t>LookoutPoint_In</t>
  </si>
  <si>
    <t>HillsCreek_Out</t>
  </si>
  <si>
    <t>TrailBridge_Out</t>
  </si>
  <si>
    <t>Canby</t>
  </si>
  <si>
    <t>Aurora</t>
  </si>
  <si>
    <t>Suver</t>
  </si>
  <si>
    <t>McMinnville</t>
  </si>
  <si>
    <t>WestLinn</t>
  </si>
  <si>
    <t>This was directly copy/pasted from the ResSim alternative editor</t>
  </si>
  <si>
    <t>The first column has the appropriate naming convention used in the routing reach spreadsheet</t>
  </si>
  <si>
    <t>All entries should be formatted as an Excel Date</t>
  </si>
  <si>
    <t>MinRel</t>
  </si>
  <si>
    <t>Min Release also from SOP ("high flow period")</t>
  </si>
  <si>
    <t>TotalConStor is from WillametteReservoirStatistics.xlsx</t>
  </si>
  <si>
    <t>ConStorKAF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</si>
</sst>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9B20-DF18-4E1A-BEC2-DBF23514B43B}">
  <sheetPr codeName="Sheet1"/>
  <dimension ref="A1:C69"/>
  <sheetViews>
    <sheetView workbookViewId="0">
      <selection activeCell="A13" sqref="A13:C24"/>
    </sheetView>
  </sheetViews>
  <sheetFormatPr defaultRowHeight="15" x14ac:dyDescent="0.25"/>
  <cols>
    <col min="1" max="1" width="14.42578125" customWidth="1"/>
  </cols>
  <sheetData>
    <row r="1" spans="1:3" x14ac:dyDescent="0.25">
      <c r="A1" t="s">
        <v>56</v>
      </c>
    </row>
    <row r="2" spans="1:3" x14ac:dyDescent="0.25">
      <c r="A2" t="s">
        <v>57</v>
      </c>
    </row>
    <row r="3" spans="1:3" x14ac:dyDescent="0.25">
      <c r="A3" t="s">
        <v>58</v>
      </c>
    </row>
    <row r="4" spans="1:3" x14ac:dyDescent="0.25">
      <c r="A4" t="s">
        <v>59</v>
      </c>
    </row>
    <row r="5" spans="1:3" x14ac:dyDescent="0.25">
      <c r="A5" t="s">
        <v>60</v>
      </c>
      <c r="B5" t="s">
        <v>61</v>
      </c>
    </row>
    <row r="6" spans="1:3" x14ac:dyDescent="0.25">
      <c r="A6" t="s">
        <v>62</v>
      </c>
      <c r="B6" t="s">
        <v>63</v>
      </c>
    </row>
    <row r="7" spans="1:3" x14ac:dyDescent="0.25">
      <c r="A7" t="s">
        <v>64</v>
      </c>
      <c r="B7" t="s">
        <v>65</v>
      </c>
    </row>
    <row r="8" spans="1:3" x14ac:dyDescent="0.25">
      <c r="A8" t="s">
        <v>66</v>
      </c>
      <c r="B8" t="s">
        <v>67</v>
      </c>
    </row>
    <row r="9" spans="1:3" x14ac:dyDescent="0.25">
      <c r="A9" t="s">
        <v>12</v>
      </c>
      <c r="B9" t="s">
        <v>68</v>
      </c>
    </row>
    <row r="10" spans="1:3" x14ac:dyDescent="0.25">
      <c r="A10" t="s">
        <v>13</v>
      </c>
      <c r="B10" t="s">
        <v>69</v>
      </c>
    </row>
    <row r="12" spans="1:3" x14ac:dyDescent="0.25">
      <c r="A12" t="s">
        <v>83</v>
      </c>
    </row>
    <row r="13" spans="1:3" x14ac:dyDescent="0.25">
      <c r="A13" s="1" t="s">
        <v>39</v>
      </c>
      <c r="B13" s="2" t="s">
        <v>45</v>
      </c>
      <c r="C13" s="2" t="s">
        <v>48</v>
      </c>
    </row>
    <row r="14" spans="1:3" x14ac:dyDescent="0.25">
      <c r="A14" s="2" t="s">
        <v>42</v>
      </c>
      <c r="B14" s="2" t="s">
        <v>43</v>
      </c>
      <c r="C14" s="2" t="s">
        <v>49</v>
      </c>
    </row>
    <row r="15" spans="1:3" x14ac:dyDescent="0.25">
      <c r="A15" s="2" t="s">
        <v>54</v>
      </c>
      <c r="B15" s="2" t="s">
        <v>55</v>
      </c>
      <c r="C15" s="2" t="s">
        <v>70</v>
      </c>
    </row>
    <row r="16" spans="1:3" x14ac:dyDescent="0.25">
      <c r="A16" s="2" t="s">
        <v>40</v>
      </c>
      <c r="B16" s="2" t="s">
        <v>46</v>
      </c>
      <c r="C16" s="2" t="s">
        <v>44</v>
      </c>
    </row>
    <row r="17" spans="1:3" x14ac:dyDescent="0.25">
      <c r="A17" s="1" t="s">
        <v>38</v>
      </c>
      <c r="B17" s="2" t="s">
        <v>50</v>
      </c>
      <c r="C17" s="2" t="s">
        <v>47</v>
      </c>
    </row>
    <row r="18" spans="1:3" x14ac:dyDescent="0.25">
      <c r="A18" s="1" t="s">
        <v>21</v>
      </c>
      <c r="B18" s="2" t="s">
        <v>22</v>
      </c>
      <c r="C18" s="2" t="s">
        <v>23</v>
      </c>
    </row>
    <row r="19" spans="1:3" x14ac:dyDescent="0.25">
      <c r="A19" s="1" t="s">
        <v>35</v>
      </c>
      <c r="B19" s="2" t="s">
        <v>36</v>
      </c>
      <c r="C19" s="2" t="s">
        <v>37</v>
      </c>
    </row>
    <row r="20" spans="1:3" x14ac:dyDescent="0.25">
      <c r="A20" s="1" t="s">
        <v>24</v>
      </c>
      <c r="B20" s="2" t="s">
        <v>25</v>
      </c>
      <c r="C20" s="2" t="s">
        <v>26</v>
      </c>
    </row>
    <row r="21" spans="1:3" x14ac:dyDescent="0.25">
      <c r="A21" s="2" t="s">
        <v>51</v>
      </c>
      <c r="B21" s="2" t="s">
        <v>52</v>
      </c>
      <c r="C21" s="2" t="s">
        <v>30</v>
      </c>
    </row>
    <row r="22" spans="1:3" x14ac:dyDescent="0.25">
      <c r="A22" s="1" t="s">
        <v>18</v>
      </c>
      <c r="B22" s="2" t="s">
        <v>34</v>
      </c>
      <c r="C22" s="2" t="s">
        <v>41</v>
      </c>
    </row>
    <row r="23" spans="1:3" x14ac:dyDescent="0.25">
      <c r="A23" s="2" t="s">
        <v>27</v>
      </c>
      <c r="B23" s="2" t="s">
        <v>29</v>
      </c>
      <c r="C23" s="2" t="s">
        <v>28</v>
      </c>
    </row>
    <row r="24" spans="1:3" x14ac:dyDescent="0.25">
      <c r="A24" s="2" t="s">
        <v>31</v>
      </c>
      <c r="B24" s="2" t="s">
        <v>32</v>
      </c>
      <c r="C24" s="2" t="s">
        <v>33</v>
      </c>
    </row>
    <row r="28" spans="1:3" x14ac:dyDescent="0.25">
      <c r="A28" t="s">
        <v>71</v>
      </c>
    </row>
    <row r="29" spans="1:3" x14ac:dyDescent="0.25">
      <c r="A29" s="1" t="s">
        <v>18</v>
      </c>
      <c r="B29" s="2" t="s">
        <v>72</v>
      </c>
      <c r="C29" s="2" t="s">
        <v>41</v>
      </c>
    </row>
    <row r="30" spans="1:3" x14ac:dyDescent="0.25">
      <c r="A30" s="2" t="s">
        <v>27</v>
      </c>
      <c r="B30" s="2" t="s">
        <v>29</v>
      </c>
      <c r="C30" s="2" t="s">
        <v>28</v>
      </c>
    </row>
    <row r="31" spans="1:3" x14ac:dyDescent="0.25">
      <c r="A31" s="2" t="s">
        <v>31</v>
      </c>
      <c r="B31" s="2" t="s">
        <v>32</v>
      </c>
      <c r="C31" s="2" t="s">
        <v>33</v>
      </c>
    </row>
    <row r="32" spans="1:3" x14ac:dyDescent="0.25">
      <c r="A32" s="2" t="s">
        <v>73</v>
      </c>
      <c r="B32" s="2" t="s">
        <v>74</v>
      </c>
      <c r="C32" s="2" t="s">
        <v>104</v>
      </c>
    </row>
    <row r="33" spans="1:3" x14ac:dyDescent="0.25">
      <c r="A33" s="2" t="s">
        <v>75</v>
      </c>
      <c r="B33" s="2" t="s">
        <v>76</v>
      </c>
      <c r="C33" s="2" t="s">
        <v>105</v>
      </c>
    </row>
    <row r="34" spans="1:3" x14ac:dyDescent="0.25">
      <c r="A34" s="2" t="s">
        <v>77</v>
      </c>
      <c r="B34" s="2" t="s">
        <v>78</v>
      </c>
      <c r="C34" s="2" t="s">
        <v>106</v>
      </c>
    </row>
    <row r="36" spans="1:3" x14ac:dyDescent="0.25">
      <c r="A36" s="2" t="s">
        <v>79</v>
      </c>
    </row>
    <row r="37" spans="1:3" x14ac:dyDescent="0.25">
      <c r="A37" s="1" t="s">
        <v>54</v>
      </c>
      <c r="B37" s="2" t="s">
        <v>55</v>
      </c>
      <c r="C37" s="2" t="s">
        <v>53</v>
      </c>
    </row>
    <row r="38" spans="1:3" x14ac:dyDescent="0.25">
      <c r="A38" s="2" t="s">
        <v>38</v>
      </c>
      <c r="B38" s="2" t="s">
        <v>80</v>
      </c>
      <c r="C38" s="2" t="s">
        <v>47</v>
      </c>
    </row>
    <row r="39" spans="1:3" x14ac:dyDescent="0.25">
      <c r="A39" s="2" t="s">
        <v>81</v>
      </c>
      <c r="B39" s="2" t="s">
        <v>82</v>
      </c>
      <c r="C39" s="2" t="s">
        <v>107</v>
      </c>
    </row>
    <row r="40" spans="1:3" x14ac:dyDescent="0.25">
      <c r="A40" s="2" t="s">
        <v>21</v>
      </c>
      <c r="B40" s="2" t="s">
        <v>22</v>
      </c>
      <c r="C40" s="2" t="s">
        <v>23</v>
      </c>
    </row>
    <row r="41" spans="1:3" x14ac:dyDescent="0.25">
      <c r="A41" s="2" t="s">
        <v>35</v>
      </c>
      <c r="B41" s="2" t="s">
        <v>36</v>
      </c>
      <c r="C41" s="2" t="s">
        <v>37</v>
      </c>
    </row>
    <row r="42" spans="1:3" x14ac:dyDescent="0.25">
      <c r="A42" s="2" t="s">
        <v>24</v>
      </c>
      <c r="B42" s="2" t="s">
        <v>25</v>
      </c>
      <c r="C42" s="2" t="s">
        <v>26</v>
      </c>
    </row>
    <row r="43" spans="1:3" x14ac:dyDescent="0.25">
      <c r="A43" t="s">
        <v>51</v>
      </c>
      <c r="B43" t="s">
        <v>52</v>
      </c>
      <c r="C43" t="s">
        <v>30</v>
      </c>
    </row>
    <row r="45" spans="1:3" x14ac:dyDescent="0.25">
      <c r="A45" t="s">
        <v>84</v>
      </c>
    </row>
    <row r="46" spans="1:3" x14ac:dyDescent="0.25">
      <c r="A46" s="1" t="s">
        <v>18</v>
      </c>
      <c r="B46" s="2" t="s">
        <v>34</v>
      </c>
      <c r="C46" s="2" t="s">
        <v>41</v>
      </c>
    </row>
    <row r="47" spans="1:3" x14ac:dyDescent="0.25">
      <c r="A47" s="2" t="s">
        <v>27</v>
      </c>
      <c r="B47" s="2" t="s">
        <v>29</v>
      </c>
      <c r="C47" s="2" t="s">
        <v>28</v>
      </c>
    </row>
    <row r="48" spans="1:3" x14ac:dyDescent="0.25">
      <c r="A48" s="2" t="s">
        <v>31</v>
      </c>
      <c r="B48" s="2" t="s">
        <v>32</v>
      </c>
      <c r="C48" s="2" t="s">
        <v>33</v>
      </c>
    </row>
    <row r="49" spans="1:3" x14ac:dyDescent="0.25">
      <c r="A49" s="1" t="s">
        <v>75</v>
      </c>
      <c r="B49" s="2" t="s">
        <v>85</v>
      </c>
      <c r="C49" s="2" t="s">
        <v>86</v>
      </c>
    </row>
    <row r="50" spans="1:3" x14ac:dyDescent="0.25">
      <c r="A50" s="2" t="s">
        <v>77</v>
      </c>
      <c r="B50" s="2" t="s">
        <v>87</v>
      </c>
      <c r="C50" s="2" t="s">
        <v>88</v>
      </c>
    </row>
    <row r="51" spans="1:3" x14ac:dyDescent="0.25">
      <c r="A51" s="2" t="s">
        <v>73</v>
      </c>
      <c r="B51" s="2" t="s">
        <v>89</v>
      </c>
      <c r="C51" s="2" t="s">
        <v>90</v>
      </c>
    </row>
    <row r="52" spans="1:3" x14ac:dyDescent="0.25">
      <c r="A52" s="2" t="s">
        <v>91</v>
      </c>
      <c r="B52" s="2" t="s">
        <v>92</v>
      </c>
      <c r="C52" s="2" t="s">
        <v>93</v>
      </c>
    </row>
    <row r="54" spans="1:3" x14ac:dyDescent="0.25">
      <c r="A54" s="2" t="s">
        <v>103</v>
      </c>
    </row>
    <row r="55" spans="1:3" x14ac:dyDescent="0.25">
      <c r="A55" s="1" t="s">
        <v>39</v>
      </c>
      <c r="B55" s="2" t="s">
        <v>45</v>
      </c>
      <c r="C55" s="2" t="s">
        <v>48</v>
      </c>
    </row>
    <row r="56" spans="1:3" x14ac:dyDescent="0.25">
      <c r="A56" s="2" t="s">
        <v>94</v>
      </c>
      <c r="B56" s="2" t="s">
        <v>95</v>
      </c>
      <c r="C56" s="2" t="s">
        <v>96</v>
      </c>
    </row>
    <row r="57" spans="1:3" x14ac:dyDescent="0.25">
      <c r="A57" s="2" t="s">
        <v>97</v>
      </c>
      <c r="B57" s="2" t="s">
        <v>98</v>
      </c>
      <c r="C57" s="2" t="s">
        <v>99</v>
      </c>
    </row>
    <row r="58" spans="1:3" x14ac:dyDescent="0.25">
      <c r="A58" s="2" t="s">
        <v>73</v>
      </c>
      <c r="B58" s="2" t="s">
        <v>100</v>
      </c>
      <c r="C58" s="2" t="s">
        <v>101</v>
      </c>
    </row>
    <row r="59" spans="1:3" x14ac:dyDescent="0.25">
      <c r="A59" s="1" t="s">
        <v>38</v>
      </c>
      <c r="B59" s="2" t="s">
        <v>50</v>
      </c>
      <c r="C59" s="2" t="s">
        <v>102</v>
      </c>
    </row>
    <row r="60" spans="1:3" x14ac:dyDescent="0.25">
      <c r="A60" s="1" t="s">
        <v>21</v>
      </c>
      <c r="B60" s="2" t="s">
        <v>22</v>
      </c>
      <c r="C60" s="2" t="s">
        <v>23</v>
      </c>
    </row>
    <row r="61" spans="1:3" x14ac:dyDescent="0.25">
      <c r="A61" s="1" t="s">
        <v>35</v>
      </c>
      <c r="B61" s="2" t="s">
        <v>36</v>
      </c>
      <c r="C61" s="2" t="s">
        <v>37</v>
      </c>
    </row>
    <row r="62" spans="1:3" x14ac:dyDescent="0.25">
      <c r="A62" s="1" t="s">
        <v>24</v>
      </c>
      <c r="B62" s="2" t="s">
        <v>25</v>
      </c>
      <c r="C62" s="2" t="s">
        <v>26</v>
      </c>
    </row>
    <row r="63" spans="1:3" x14ac:dyDescent="0.25">
      <c r="A63" s="2" t="s">
        <v>51</v>
      </c>
      <c r="B63" s="2" t="s">
        <v>52</v>
      </c>
      <c r="C63" s="2" t="s">
        <v>30</v>
      </c>
    </row>
    <row r="64" spans="1:3" x14ac:dyDescent="0.25">
      <c r="A64" s="1" t="s">
        <v>18</v>
      </c>
      <c r="B64" s="2" t="s">
        <v>34</v>
      </c>
      <c r="C64" s="2" t="s">
        <v>41</v>
      </c>
    </row>
    <row r="65" spans="1:3" x14ac:dyDescent="0.25">
      <c r="A65" s="2" t="s">
        <v>27</v>
      </c>
      <c r="B65" s="2" t="s">
        <v>29</v>
      </c>
      <c r="C65" s="2" t="s">
        <v>28</v>
      </c>
    </row>
    <row r="66" spans="1:3" x14ac:dyDescent="0.25">
      <c r="A66" s="2" t="s">
        <v>31</v>
      </c>
      <c r="B66" s="2" t="s">
        <v>32</v>
      </c>
      <c r="C66" s="2" t="s">
        <v>33</v>
      </c>
    </row>
    <row r="69" spans="1:3" x14ac:dyDescent="0.25">
      <c r="A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7927-DBDA-44C7-8B62-3FD3DC7E41F9}">
  <sheetPr codeName="Sheet2"/>
  <dimension ref="A1:E27"/>
  <sheetViews>
    <sheetView workbookViewId="0">
      <selection activeCell="D4" sqref="D4"/>
    </sheetView>
  </sheetViews>
  <sheetFormatPr defaultRowHeight="15" x14ac:dyDescent="0.25"/>
  <cols>
    <col min="1" max="1" width="20.7109375" customWidth="1"/>
    <col min="2" max="2" width="20.140625" customWidth="1"/>
    <col min="3" max="3" width="17.7109375" customWidth="1"/>
    <col min="4" max="4" width="18.28515625" customWidth="1"/>
  </cols>
  <sheetData>
    <row r="1" spans="1:5" x14ac:dyDescent="0.25">
      <c r="A1" t="s">
        <v>11</v>
      </c>
    </row>
    <row r="2" spans="1:5" x14ac:dyDescent="0.25">
      <c r="A2" t="s">
        <v>19</v>
      </c>
    </row>
    <row r="3" spans="1:5" x14ac:dyDescent="0.25">
      <c r="A3" t="s">
        <v>17</v>
      </c>
    </row>
    <row r="4" spans="1:5" x14ac:dyDescent="0.25">
      <c r="A4" t="s">
        <v>20</v>
      </c>
    </row>
    <row r="5" spans="1:5" x14ac:dyDescent="0.25">
      <c r="A5" t="s">
        <v>254</v>
      </c>
    </row>
    <row r="6" spans="1:5" x14ac:dyDescent="0.25">
      <c r="A6" t="s">
        <v>14</v>
      </c>
      <c r="B6" t="s">
        <v>15</v>
      </c>
      <c r="C6" t="s">
        <v>16</v>
      </c>
      <c r="D6" t="s">
        <v>132</v>
      </c>
      <c r="E6" t="s">
        <v>0</v>
      </c>
    </row>
    <row r="7" spans="1:5" x14ac:dyDescent="0.25">
      <c r="A7" s="1" t="s">
        <v>39</v>
      </c>
      <c r="B7" s="3">
        <v>15700</v>
      </c>
      <c r="C7" s="3">
        <v>15710</v>
      </c>
      <c r="D7" s="3">
        <f>B7+1</f>
        <v>15701</v>
      </c>
    </row>
    <row r="8" spans="1:5" x14ac:dyDescent="0.25">
      <c r="A8" s="2" t="s">
        <v>42</v>
      </c>
      <c r="B8" s="3">
        <v>16798</v>
      </c>
      <c r="C8" s="3">
        <v>16803</v>
      </c>
      <c r="D8" s="3">
        <f>B8+1</f>
        <v>16799</v>
      </c>
    </row>
    <row r="9" spans="1:5" x14ac:dyDescent="0.25">
      <c r="A9" s="2" t="s">
        <v>54</v>
      </c>
      <c r="B9" s="3">
        <v>20443</v>
      </c>
      <c r="C9" s="3">
        <v>20450</v>
      </c>
      <c r="D9" s="3">
        <f t="shared" ref="D9:D18" si="0">B9+1</f>
        <v>20444</v>
      </c>
    </row>
    <row r="10" spans="1:5" x14ac:dyDescent="0.25">
      <c r="A10" s="2" t="s">
        <v>40</v>
      </c>
      <c r="B10" s="3">
        <v>22321</v>
      </c>
      <c r="C10" s="3">
        <v>22327</v>
      </c>
      <c r="D10" s="3">
        <f t="shared" si="0"/>
        <v>22322</v>
      </c>
    </row>
    <row r="11" spans="1:5" x14ac:dyDescent="0.25">
      <c r="A11" s="1" t="s">
        <v>38</v>
      </c>
      <c r="B11" s="3">
        <v>23732</v>
      </c>
      <c r="C11" s="3">
        <v>23739</v>
      </c>
      <c r="D11" s="3">
        <f t="shared" si="0"/>
        <v>23733</v>
      </c>
    </row>
    <row r="12" spans="1:5" x14ac:dyDescent="0.25">
      <c r="A12" s="1" t="s">
        <v>21</v>
      </c>
      <c r="B12" s="3">
        <v>35098</v>
      </c>
      <c r="C12" s="3">
        <v>35109</v>
      </c>
      <c r="D12" s="3">
        <f t="shared" si="0"/>
        <v>35099</v>
      </c>
    </row>
    <row r="13" spans="1:5" x14ac:dyDescent="0.25">
      <c r="A13" s="1" t="s">
        <v>35</v>
      </c>
      <c r="B13" s="3">
        <v>35386</v>
      </c>
      <c r="C13" s="3">
        <v>35393</v>
      </c>
      <c r="D13" s="3">
        <f t="shared" si="0"/>
        <v>35387</v>
      </c>
    </row>
    <row r="14" spans="1:5" x14ac:dyDescent="0.25">
      <c r="A14" s="1" t="s">
        <v>24</v>
      </c>
      <c r="B14" s="3">
        <v>35423</v>
      </c>
      <c r="C14" s="3">
        <v>35435</v>
      </c>
      <c r="D14" s="3">
        <f t="shared" si="0"/>
        <v>35424</v>
      </c>
    </row>
    <row r="15" spans="1:5" x14ac:dyDescent="0.25">
      <c r="A15" s="2" t="s">
        <v>51</v>
      </c>
      <c r="B15" s="3">
        <v>36155</v>
      </c>
      <c r="C15" s="3">
        <v>36163</v>
      </c>
      <c r="D15" s="3">
        <f t="shared" si="0"/>
        <v>36156</v>
      </c>
    </row>
    <row r="16" spans="1:5" x14ac:dyDescent="0.25">
      <c r="A16" s="1" t="s">
        <v>18</v>
      </c>
      <c r="B16" s="3">
        <v>38716</v>
      </c>
      <c r="C16" s="3">
        <v>38732</v>
      </c>
      <c r="D16" s="3">
        <f t="shared" si="0"/>
        <v>38717</v>
      </c>
    </row>
    <row r="17" spans="1:4" x14ac:dyDescent="0.25">
      <c r="A17" s="2" t="s">
        <v>27</v>
      </c>
      <c r="B17" s="3">
        <v>40924</v>
      </c>
      <c r="C17" s="3">
        <v>40932</v>
      </c>
      <c r="D17" s="3">
        <f t="shared" si="0"/>
        <v>40925</v>
      </c>
    </row>
    <row r="18" spans="1:4" x14ac:dyDescent="0.25">
      <c r="A18" s="2" t="s">
        <v>31</v>
      </c>
      <c r="B18" s="3">
        <v>43561</v>
      </c>
      <c r="C18" s="3">
        <v>43571</v>
      </c>
      <c r="D18" s="3">
        <f t="shared" si="0"/>
        <v>43562</v>
      </c>
    </row>
    <row r="19" spans="1:4" x14ac:dyDescent="0.25">
      <c r="A19" s="2"/>
      <c r="B19" s="2"/>
      <c r="C19" s="2"/>
    </row>
    <row r="20" spans="1:4" x14ac:dyDescent="0.25">
      <c r="A20" s="2"/>
      <c r="B20" s="2"/>
      <c r="C20" s="2"/>
    </row>
    <row r="21" spans="1:4" x14ac:dyDescent="0.25">
      <c r="A21" s="2"/>
      <c r="B21" s="2"/>
      <c r="C21" s="2"/>
    </row>
    <row r="22" spans="1:4" x14ac:dyDescent="0.25">
      <c r="A22" s="2"/>
      <c r="B22" s="2"/>
      <c r="C22" s="2"/>
    </row>
    <row r="23" spans="1:4" x14ac:dyDescent="0.25">
      <c r="A23" s="1"/>
      <c r="B23" s="2"/>
      <c r="C23" s="2"/>
    </row>
    <row r="24" spans="1:4" x14ac:dyDescent="0.25">
      <c r="A24" s="2"/>
      <c r="B24" s="2"/>
      <c r="C24" s="2"/>
    </row>
    <row r="25" spans="1:4" x14ac:dyDescent="0.25">
      <c r="A25" s="2"/>
      <c r="B25" s="2"/>
      <c r="C25" s="2"/>
    </row>
    <row r="26" spans="1:4" x14ac:dyDescent="0.25">
      <c r="A26" s="2"/>
      <c r="B26" s="2"/>
      <c r="C26" s="2"/>
    </row>
    <row r="27" spans="1:4" x14ac:dyDescent="0.25">
      <c r="A27" s="2"/>
      <c r="B27" s="2"/>
      <c r="C2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789E-D057-47C1-85B7-7F368F5AC95F}">
  <sheetPr filterMode="1"/>
  <dimension ref="A1:I51"/>
  <sheetViews>
    <sheetView workbookViewId="0">
      <selection activeCell="A4" sqref="A4"/>
    </sheetView>
  </sheetViews>
  <sheetFormatPr defaultRowHeight="15" x14ac:dyDescent="0.25"/>
  <cols>
    <col min="1" max="1" width="34.7109375" customWidth="1"/>
    <col min="2" max="2" width="54.140625" customWidth="1"/>
    <col min="4" max="4" width="41.7109375" customWidth="1"/>
    <col min="6" max="6" width="19.140625" customWidth="1"/>
    <col min="7" max="7" width="13.28515625" customWidth="1"/>
  </cols>
  <sheetData>
    <row r="1" spans="1:9" x14ac:dyDescent="0.25">
      <c r="A1" t="s">
        <v>11</v>
      </c>
    </row>
    <row r="2" spans="1:9" x14ac:dyDescent="0.25">
      <c r="A2" t="s">
        <v>252</v>
      </c>
    </row>
    <row r="3" spans="1:9" x14ac:dyDescent="0.25">
      <c r="A3" t="s">
        <v>253</v>
      </c>
    </row>
    <row r="6" spans="1:9" x14ac:dyDescent="0.25">
      <c r="A6" t="s">
        <v>229</v>
      </c>
      <c r="B6" t="s">
        <v>221</v>
      </c>
      <c r="C6" t="s">
        <v>228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</row>
    <row r="7" spans="1:9" hidden="1" x14ac:dyDescent="0.25">
      <c r="A7" t="s">
        <v>230</v>
      </c>
      <c r="B7" t="s">
        <v>133</v>
      </c>
      <c r="C7" t="s">
        <v>134</v>
      </c>
      <c r="D7" t="s">
        <v>135</v>
      </c>
      <c r="E7" t="s">
        <v>136</v>
      </c>
      <c r="F7" t="s">
        <v>136</v>
      </c>
      <c r="G7" t="s">
        <v>137</v>
      </c>
      <c r="H7" t="s">
        <v>138</v>
      </c>
      <c r="I7" t="s">
        <v>139</v>
      </c>
    </row>
    <row r="8" spans="1:9" hidden="1" x14ac:dyDescent="0.25">
      <c r="A8" t="s">
        <v>230</v>
      </c>
      <c r="B8" t="s">
        <v>140</v>
      </c>
      <c r="C8" t="s">
        <v>134</v>
      </c>
      <c r="D8" t="s">
        <v>135</v>
      </c>
      <c r="E8" t="s">
        <v>136</v>
      </c>
      <c r="F8" t="s">
        <v>136</v>
      </c>
      <c r="G8" t="s">
        <v>137</v>
      </c>
      <c r="H8" t="s">
        <v>138</v>
      </c>
      <c r="I8" t="s">
        <v>139</v>
      </c>
    </row>
    <row r="9" spans="1:9" hidden="1" x14ac:dyDescent="0.25">
      <c r="A9" t="s">
        <v>230</v>
      </c>
      <c r="B9" t="s">
        <v>141</v>
      </c>
      <c r="C9" t="s">
        <v>134</v>
      </c>
      <c r="D9" t="s">
        <v>135</v>
      </c>
      <c r="E9" t="s">
        <v>136</v>
      </c>
      <c r="F9" t="s">
        <v>136</v>
      </c>
      <c r="G9" t="s">
        <v>137</v>
      </c>
      <c r="H9" t="s">
        <v>138</v>
      </c>
      <c r="I9" t="s">
        <v>139</v>
      </c>
    </row>
    <row r="10" spans="1:9" hidden="1" x14ac:dyDescent="0.25">
      <c r="A10" t="s">
        <v>230</v>
      </c>
      <c r="B10" t="s">
        <v>142</v>
      </c>
      <c r="C10" t="s">
        <v>134</v>
      </c>
      <c r="D10" t="s">
        <v>135</v>
      </c>
      <c r="E10" t="s">
        <v>136</v>
      </c>
      <c r="F10" t="s">
        <v>136</v>
      </c>
      <c r="G10" t="s">
        <v>137</v>
      </c>
      <c r="H10" t="s">
        <v>138</v>
      </c>
      <c r="I10" t="s">
        <v>139</v>
      </c>
    </row>
    <row r="11" spans="1:9" x14ac:dyDescent="0.25">
      <c r="A11" t="s">
        <v>6</v>
      </c>
      <c r="B11" t="s">
        <v>143</v>
      </c>
      <c r="C11" t="s">
        <v>134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</row>
    <row r="12" spans="1:9" x14ac:dyDescent="0.25">
      <c r="A12" t="s">
        <v>231</v>
      </c>
      <c r="B12" t="s">
        <v>150</v>
      </c>
      <c r="C12" t="s">
        <v>134</v>
      </c>
      <c r="D12" t="s">
        <v>144</v>
      </c>
      <c r="E12" t="s">
        <v>145</v>
      </c>
      <c r="F12" t="s">
        <v>151</v>
      </c>
      <c r="G12" t="s">
        <v>147</v>
      </c>
      <c r="H12" t="s">
        <v>148</v>
      </c>
      <c r="I12" t="s">
        <v>149</v>
      </c>
    </row>
    <row r="13" spans="1:9" hidden="1" x14ac:dyDescent="0.25">
      <c r="A13" t="s">
        <v>230</v>
      </c>
      <c r="B13" t="s">
        <v>152</v>
      </c>
      <c r="C13" t="s">
        <v>134</v>
      </c>
      <c r="D13" t="s">
        <v>135</v>
      </c>
      <c r="E13" t="s">
        <v>136</v>
      </c>
      <c r="F13" t="s">
        <v>136</v>
      </c>
      <c r="G13" t="s">
        <v>137</v>
      </c>
      <c r="H13" t="s">
        <v>138</v>
      </c>
      <c r="I13" t="s">
        <v>139</v>
      </c>
    </row>
    <row r="14" spans="1:9" hidden="1" x14ac:dyDescent="0.25">
      <c r="A14" t="s">
        <v>230</v>
      </c>
      <c r="B14" t="s">
        <v>153</v>
      </c>
      <c r="C14" t="s">
        <v>134</v>
      </c>
      <c r="D14" t="s">
        <v>135</v>
      </c>
      <c r="E14" t="s">
        <v>136</v>
      </c>
      <c r="F14" t="s">
        <v>136</v>
      </c>
      <c r="G14" t="s">
        <v>137</v>
      </c>
      <c r="H14" t="s">
        <v>138</v>
      </c>
      <c r="I14" t="s">
        <v>139</v>
      </c>
    </row>
    <row r="15" spans="1:9" x14ac:dyDescent="0.25">
      <c r="A15" t="s">
        <v>8</v>
      </c>
      <c r="B15" t="s">
        <v>154</v>
      </c>
      <c r="C15" t="s">
        <v>134</v>
      </c>
      <c r="D15" t="s">
        <v>144</v>
      </c>
      <c r="E15" t="s">
        <v>145</v>
      </c>
      <c r="F15" t="s">
        <v>155</v>
      </c>
      <c r="G15" t="s">
        <v>147</v>
      </c>
      <c r="H15" t="s">
        <v>148</v>
      </c>
      <c r="I15" t="s">
        <v>149</v>
      </c>
    </row>
    <row r="16" spans="1:9" x14ac:dyDescent="0.25">
      <c r="A16" t="s">
        <v>9</v>
      </c>
      <c r="B16" t="s">
        <v>156</v>
      </c>
      <c r="C16" t="s">
        <v>134</v>
      </c>
      <c r="D16" t="s">
        <v>144</v>
      </c>
      <c r="E16" t="s">
        <v>145</v>
      </c>
      <c r="F16" t="s">
        <v>157</v>
      </c>
      <c r="G16" t="s">
        <v>147</v>
      </c>
      <c r="H16" t="s">
        <v>148</v>
      </c>
      <c r="I16" t="s">
        <v>149</v>
      </c>
    </row>
    <row r="17" spans="1:9" x14ac:dyDescent="0.25">
      <c r="A17" t="s">
        <v>10</v>
      </c>
      <c r="B17" t="s">
        <v>158</v>
      </c>
      <c r="C17" t="s">
        <v>134</v>
      </c>
      <c r="D17" t="s">
        <v>144</v>
      </c>
      <c r="E17" t="s">
        <v>145</v>
      </c>
      <c r="F17" t="s">
        <v>159</v>
      </c>
      <c r="G17" t="s">
        <v>147</v>
      </c>
      <c r="H17" t="s">
        <v>148</v>
      </c>
      <c r="I17" t="s">
        <v>149</v>
      </c>
    </row>
    <row r="18" spans="1:9" hidden="1" x14ac:dyDescent="0.25">
      <c r="A18" t="s">
        <v>230</v>
      </c>
      <c r="B18" t="s">
        <v>160</v>
      </c>
      <c r="C18" t="s">
        <v>134</v>
      </c>
      <c r="D18" t="s">
        <v>135</v>
      </c>
      <c r="E18" t="s">
        <v>136</v>
      </c>
      <c r="F18" t="s">
        <v>136</v>
      </c>
      <c r="G18" t="s">
        <v>137</v>
      </c>
      <c r="H18" t="s">
        <v>138</v>
      </c>
      <c r="I18" t="s">
        <v>139</v>
      </c>
    </row>
    <row r="19" spans="1:9" hidden="1" x14ac:dyDescent="0.25">
      <c r="A19" t="s">
        <v>230</v>
      </c>
      <c r="B19" t="s">
        <v>161</v>
      </c>
      <c r="C19" t="s">
        <v>134</v>
      </c>
      <c r="D19" t="s">
        <v>135</v>
      </c>
      <c r="E19" t="s">
        <v>136</v>
      </c>
      <c r="F19" t="s">
        <v>136</v>
      </c>
      <c r="G19" t="s">
        <v>137</v>
      </c>
      <c r="H19" t="s">
        <v>138</v>
      </c>
      <c r="I19" t="s">
        <v>139</v>
      </c>
    </row>
    <row r="20" spans="1:9" hidden="1" x14ac:dyDescent="0.25">
      <c r="A20" t="s">
        <v>230</v>
      </c>
      <c r="B20" t="s">
        <v>162</v>
      </c>
      <c r="C20" t="s">
        <v>134</v>
      </c>
      <c r="D20" t="s">
        <v>135</v>
      </c>
      <c r="E20" t="s">
        <v>136</v>
      </c>
      <c r="F20" t="s">
        <v>136</v>
      </c>
      <c r="G20" t="s">
        <v>137</v>
      </c>
      <c r="H20" t="s">
        <v>138</v>
      </c>
      <c r="I20" t="s">
        <v>139</v>
      </c>
    </row>
    <row r="21" spans="1:9" hidden="1" x14ac:dyDescent="0.25">
      <c r="A21" t="s">
        <v>230</v>
      </c>
      <c r="B21" t="s">
        <v>163</v>
      </c>
      <c r="C21" t="s">
        <v>134</v>
      </c>
      <c r="D21" t="s">
        <v>135</v>
      </c>
      <c r="E21" t="s">
        <v>136</v>
      </c>
      <c r="F21" t="s">
        <v>136</v>
      </c>
      <c r="G21" t="s">
        <v>137</v>
      </c>
      <c r="H21" t="s">
        <v>138</v>
      </c>
      <c r="I21" t="s">
        <v>139</v>
      </c>
    </row>
    <row r="22" spans="1:9" x14ac:dyDescent="0.25">
      <c r="A22" t="s">
        <v>7</v>
      </c>
      <c r="B22" t="s">
        <v>164</v>
      </c>
      <c r="C22" t="s">
        <v>134</v>
      </c>
      <c r="D22" t="s">
        <v>144</v>
      </c>
      <c r="E22" t="s">
        <v>145</v>
      </c>
      <c r="F22" t="s">
        <v>165</v>
      </c>
      <c r="G22" t="s">
        <v>147</v>
      </c>
      <c r="H22" t="s">
        <v>148</v>
      </c>
      <c r="I22" t="s">
        <v>149</v>
      </c>
    </row>
    <row r="23" spans="1:9" x14ac:dyDescent="0.25">
      <c r="A23" t="s">
        <v>232</v>
      </c>
      <c r="B23" t="s">
        <v>166</v>
      </c>
      <c r="C23" t="s">
        <v>134</v>
      </c>
      <c r="D23" t="s">
        <v>144</v>
      </c>
      <c r="E23" t="s">
        <v>145</v>
      </c>
      <c r="F23" t="s">
        <v>167</v>
      </c>
      <c r="G23" t="s">
        <v>168</v>
      </c>
      <c r="H23" t="s">
        <v>148</v>
      </c>
      <c r="I23" t="s">
        <v>149</v>
      </c>
    </row>
    <row r="24" spans="1:9" hidden="1" x14ac:dyDescent="0.25">
      <c r="A24" t="s">
        <v>230</v>
      </c>
      <c r="B24" t="s">
        <v>169</v>
      </c>
      <c r="C24" t="s">
        <v>134</v>
      </c>
      <c r="D24" t="s">
        <v>135</v>
      </c>
      <c r="E24" t="s">
        <v>136</v>
      </c>
      <c r="F24" t="s">
        <v>136</v>
      </c>
      <c r="G24" t="s">
        <v>137</v>
      </c>
      <c r="H24" t="s">
        <v>138</v>
      </c>
      <c r="I24" t="s">
        <v>139</v>
      </c>
    </row>
    <row r="25" spans="1:9" x14ac:dyDescent="0.25">
      <c r="A25" t="s">
        <v>5</v>
      </c>
      <c r="B25" t="s">
        <v>170</v>
      </c>
      <c r="C25" t="s">
        <v>134</v>
      </c>
      <c r="D25" t="s">
        <v>144</v>
      </c>
      <c r="E25" t="s">
        <v>145</v>
      </c>
      <c r="F25" t="s">
        <v>171</v>
      </c>
      <c r="G25" t="s">
        <v>147</v>
      </c>
      <c r="H25" t="s">
        <v>148</v>
      </c>
      <c r="I25" t="s">
        <v>149</v>
      </c>
    </row>
    <row r="26" spans="1:9" x14ac:dyDescent="0.25">
      <c r="A26" t="s">
        <v>4</v>
      </c>
      <c r="B26" t="s">
        <v>172</v>
      </c>
      <c r="C26" t="s">
        <v>134</v>
      </c>
      <c r="D26" t="s">
        <v>144</v>
      </c>
      <c r="E26" t="s">
        <v>145</v>
      </c>
      <c r="F26" t="s">
        <v>173</v>
      </c>
      <c r="G26" t="s">
        <v>147</v>
      </c>
      <c r="H26" t="s">
        <v>148</v>
      </c>
      <c r="I26" t="s">
        <v>149</v>
      </c>
    </row>
    <row r="27" spans="1:9" hidden="1" x14ac:dyDescent="0.25">
      <c r="A27" t="s">
        <v>230</v>
      </c>
      <c r="B27" t="s">
        <v>174</v>
      </c>
      <c r="C27" t="s">
        <v>134</v>
      </c>
      <c r="D27" t="s">
        <v>135</v>
      </c>
      <c r="E27" t="s">
        <v>136</v>
      </c>
      <c r="F27" t="s">
        <v>136</v>
      </c>
      <c r="G27" t="s">
        <v>137</v>
      </c>
      <c r="H27" t="s">
        <v>138</v>
      </c>
      <c r="I27" t="s">
        <v>139</v>
      </c>
    </row>
    <row r="28" spans="1:9" x14ac:dyDescent="0.25">
      <c r="A28" t="s">
        <v>3</v>
      </c>
      <c r="B28" t="s">
        <v>175</v>
      </c>
      <c r="C28" t="s">
        <v>134</v>
      </c>
      <c r="D28" t="s">
        <v>144</v>
      </c>
      <c r="E28" t="s">
        <v>145</v>
      </c>
      <c r="F28" t="s">
        <v>176</v>
      </c>
      <c r="G28" t="s">
        <v>147</v>
      </c>
      <c r="H28" t="s">
        <v>148</v>
      </c>
      <c r="I28" t="s">
        <v>149</v>
      </c>
    </row>
    <row r="29" spans="1:9" hidden="1" x14ac:dyDescent="0.25">
      <c r="A29" t="s">
        <v>230</v>
      </c>
      <c r="B29" t="s">
        <v>177</v>
      </c>
      <c r="C29" t="s">
        <v>134</v>
      </c>
      <c r="D29" t="s">
        <v>135</v>
      </c>
      <c r="E29" t="s">
        <v>136</v>
      </c>
      <c r="F29" t="s">
        <v>136</v>
      </c>
      <c r="G29" t="s">
        <v>137</v>
      </c>
      <c r="H29" t="s">
        <v>138</v>
      </c>
      <c r="I29" t="s">
        <v>139</v>
      </c>
    </row>
    <row r="30" spans="1:9" hidden="1" x14ac:dyDescent="0.25">
      <c r="A30" t="s">
        <v>230</v>
      </c>
      <c r="B30" t="s">
        <v>178</v>
      </c>
      <c r="C30" t="s">
        <v>134</v>
      </c>
      <c r="D30" t="s">
        <v>135</v>
      </c>
      <c r="E30" t="s">
        <v>136</v>
      </c>
      <c r="F30" t="s">
        <v>136</v>
      </c>
      <c r="G30" t="s">
        <v>137</v>
      </c>
      <c r="H30" t="s">
        <v>138</v>
      </c>
      <c r="I30" t="s">
        <v>139</v>
      </c>
    </row>
    <row r="31" spans="1:9" x14ac:dyDescent="0.25">
      <c r="A31" t="s">
        <v>2</v>
      </c>
      <c r="B31" t="s">
        <v>179</v>
      </c>
      <c r="C31" t="s">
        <v>134</v>
      </c>
      <c r="D31" t="s">
        <v>144</v>
      </c>
      <c r="E31" t="s">
        <v>145</v>
      </c>
      <c r="F31" t="s">
        <v>180</v>
      </c>
      <c r="G31" t="s">
        <v>147</v>
      </c>
      <c r="H31" t="s">
        <v>148</v>
      </c>
      <c r="I31" t="s">
        <v>149</v>
      </c>
    </row>
    <row r="32" spans="1:9" x14ac:dyDescent="0.25">
      <c r="A32" t="s">
        <v>1</v>
      </c>
      <c r="B32" t="s">
        <v>181</v>
      </c>
      <c r="C32" t="s">
        <v>134</v>
      </c>
      <c r="D32" t="s">
        <v>144</v>
      </c>
      <c r="E32" t="s">
        <v>145</v>
      </c>
      <c r="F32" t="s">
        <v>182</v>
      </c>
      <c r="G32" t="s">
        <v>147</v>
      </c>
      <c r="H32" t="s">
        <v>148</v>
      </c>
      <c r="I32" t="s">
        <v>149</v>
      </c>
    </row>
    <row r="33" spans="1:9" x14ac:dyDescent="0.25">
      <c r="A33" t="s">
        <v>233</v>
      </c>
      <c r="B33" t="s">
        <v>183</v>
      </c>
      <c r="C33" t="s">
        <v>134</v>
      </c>
      <c r="D33" t="s">
        <v>144</v>
      </c>
      <c r="E33" t="s">
        <v>145</v>
      </c>
      <c r="F33" t="s">
        <v>184</v>
      </c>
      <c r="G33" t="s">
        <v>147</v>
      </c>
      <c r="H33" t="s">
        <v>148</v>
      </c>
      <c r="I33" t="s">
        <v>149</v>
      </c>
    </row>
    <row r="34" spans="1:9" x14ac:dyDescent="0.25">
      <c r="A34" t="s">
        <v>234</v>
      </c>
      <c r="B34" t="s">
        <v>185</v>
      </c>
      <c r="C34" t="s">
        <v>134</v>
      </c>
      <c r="D34" t="s">
        <v>144</v>
      </c>
      <c r="E34" t="s">
        <v>145</v>
      </c>
      <c r="F34" t="s">
        <v>186</v>
      </c>
      <c r="G34" t="s">
        <v>168</v>
      </c>
      <c r="H34" t="s">
        <v>148</v>
      </c>
      <c r="I34" t="s">
        <v>149</v>
      </c>
    </row>
    <row r="35" spans="1:9" x14ac:dyDescent="0.25">
      <c r="A35" t="s">
        <v>235</v>
      </c>
      <c r="B35" t="s">
        <v>187</v>
      </c>
      <c r="C35" t="s">
        <v>134</v>
      </c>
      <c r="D35" t="s">
        <v>144</v>
      </c>
      <c r="E35" t="s">
        <v>145</v>
      </c>
      <c r="F35" t="s">
        <v>188</v>
      </c>
      <c r="G35" t="s">
        <v>147</v>
      </c>
      <c r="H35" t="s">
        <v>148</v>
      </c>
      <c r="I35" t="s">
        <v>149</v>
      </c>
    </row>
    <row r="36" spans="1:9" x14ac:dyDescent="0.25">
      <c r="A36" t="s">
        <v>236</v>
      </c>
      <c r="B36" t="s">
        <v>189</v>
      </c>
      <c r="C36" t="s">
        <v>134</v>
      </c>
      <c r="D36" t="s">
        <v>144</v>
      </c>
      <c r="E36" t="s">
        <v>145</v>
      </c>
      <c r="F36" t="s">
        <v>190</v>
      </c>
      <c r="G36" t="s">
        <v>168</v>
      </c>
      <c r="H36" t="s">
        <v>148</v>
      </c>
      <c r="I36" t="s">
        <v>149</v>
      </c>
    </row>
    <row r="37" spans="1:9" x14ac:dyDescent="0.25">
      <c r="A37" t="s">
        <v>237</v>
      </c>
      <c r="B37" t="s">
        <v>191</v>
      </c>
      <c r="C37" t="s">
        <v>134</v>
      </c>
      <c r="D37" t="s">
        <v>144</v>
      </c>
      <c r="E37" t="s">
        <v>145</v>
      </c>
      <c r="F37" t="s">
        <v>192</v>
      </c>
      <c r="G37" t="s">
        <v>168</v>
      </c>
      <c r="H37" t="s">
        <v>148</v>
      </c>
      <c r="I37" t="s">
        <v>149</v>
      </c>
    </row>
    <row r="38" spans="1:9" x14ac:dyDescent="0.25">
      <c r="A38" t="s">
        <v>238</v>
      </c>
      <c r="B38" t="s">
        <v>193</v>
      </c>
      <c r="C38" t="s">
        <v>134</v>
      </c>
      <c r="D38" t="s">
        <v>144</v>
      </c>
      <c r="E38" t="s">
        <v>145</v>
      </c>
      <c r="F38" t="s">
        <v>194</v>
      </c>
      <c r="G38" t="s">
        <v>168</v>
      </c>
      <c r="H38" t="s">
        <v>148</v>
      </c>
      <c r="I38" t="s">
        <v>149</v>
      </c>
    </row>
    <row r="39" spans="1:9" x14ac:dyDescent="0.25">
      <c r="A39" t="s">
        <v>239</v>
      </c>
      <c r="B39" t="s">
        <v>195</v>
      </c>
      <c r="C39" t="s">
        <v>134</v>
      </c>
      <c r="D39" t="s">
        <v>144</v>
      </c>
      <c r="E39" t="s">
        <v>145</v>
      </c>
      <c r="F39" t="s">
        <v>196</v>
      </c>
      <c r="G39" t="s">
        <v>168</v>
      </c>
      <c r="H39" t="s">
        <v>148</v>
      </c>
      <c r="I39" t="s">
        <v>149</v>
      </c>
    </row>
    <row r="40" spans="1:9" x14ac:dyDescent="0.25">
      <c r="A40" t="s">
        <v>240</v>
      </c>
      <c r="B40" t="s">
        <v>197</v>
      </c>
      <c r="C40" t="s">
        <v>134</v>
      </c>
      <c r="D40" t="s">
        <v>144</v>
      </c>
      <c r="E40" t="s">
        <v>145</v>
      </c>
      <c r="F40" t="s">
        <v>198</v>
      </c>
      <c r="G40" t="s">
        <v>168</v>
      </c>
      <c r="H40" t="s">
        <v>148</v>
      </c>
      <c r="I40" t="s">
        <v>149</v>
      </c>
    </row>
    <row r="41" spans="1:9" x14ac:dyDescent="0.25">
      <c r="A41" t="s">
        <v>241</v>
      </c>
      <c r="B41" t="s">
        <v>199</v>
      </c>
      <c r="C41" t="s">
        <v>134</v>
      </c>
      <c r="D41" t="s">
        <v>144</v>
      </c>
      <c r="E41" t="s">
        <v>145</v>
      </c>
      <c r="F41" t="s">
        <v>200</v>
      </c>
      <c r="G41" t="s">
        <v>168</v>
      </c>
      <c r="H41" t="s">
        <v>148</v>
      </c>
      <c r="I41" t="s">
        <v>149</v>
      </c>
    </row>
    <row r="42" spans="1:9" x14ac:dyDescent="0.25">
      <c r="A42" t="s">
        <v>242</v>
      </c>
      <c r="B42" t="s">
        <v>201</v>
      </c>
      <c r="C42" t="s">
        <v>134</v>
      </c>
      <c r="D42" t="s">
        <v>144</v>
      </c>
      <c r="E42" t="s">
        <v>145</v>
      </c>
      <c r="F42" t="s">
        <v>202</v>
      </c>
      <c r="G42" t="s">
        <v>168</v>
      </c>
      <c r="H42" t="s">
        <v>148</v>
      </c>
      <c r="I42" t="s">
        <v>149</v>
      </c>
    </row>
    <row r="43" spans="1:9" x14ac:dyDescent="0.25">
      <c r="A43" t="s">
        <v>243</v>
      </c>
      <c r="B43" t="s">
        <v>203</v>
      </c>
      <c r="C43" t="s">
        <v>134</v>
      </c>
      <c r="D43" t="s">
        <v>144</v>
      </c>
      <c r="E43" t="s">
        <v>145</v>
      </c>
      <c r="F43" t="s">
        <v>204</v>
      </c>
      <c r="G43" t="s">
        <v>147</v>
      </c>
      <c r="H43" t="s">
        <v>148</v>
      </c>
      <c r="I43" t="s">
        <v>149</v>
      </c>
    </row>
    <row r="44" spans="1:9" x14ac:dyDescent="0.25">
      <c r="A44" t="s">
        <v>244</v>
      </c>
      <c r="B44" t="s">
        <v>205</v>
      </c>
      <c r="C44" t="s">
        <v>134</v>
      </c>
      <c r="D44" t="s">
        <v>144</v>
      </c>
      <c r="E44" t="s">
        <v>145</v>
      </c>
      <c r="F44" t="s">
        <v>206</v>
      </c>
      <c r="G44" t="s">
        <v>147</v>
      </c>
      <c r="H44" t="s">
        <v>148</v>
      </c>
      <c r="I44" t="s">
        <v>149</v>
      </c>
    </row>
    <row r="45" spans="1:9" x14ac:dyDescent="0.25">
      <c r="A45" t="s">
        <v>245</v>
      </c>
      <c r="B45" t="s">
        <v>207</v>
      </c>
      <c r="C45" t="s">
        <v>134</v>
      </c>
      <c r="D45" t="s">
        <v>144</v>
      </c>
      <c r="E45" t="s">
        <v>145</v>
      </c>
      <c r="F45" t="s">
        <v>208</v>
      </c>
      <c r="G45" t="s">
        <v>168</v>
      </c>
      <c r="H45" t="s">
        <v>148</v>
      </c>
      <c r="I45" t="s">
        <v>149</v>
      </c>
    </row>
    <row r="46" spans="1:9" x14ac:dyDescent="0.25">
      <c r="A46" t="s">
        <v>246</v>
      </c>
      <c r="B46" t="s">
        <v>209</v>
      </c>
      <c r="C46" t="s">
        <v>134</v>
      </c>
      <c r="D46" t="s">
        <v>144</v>
      </c>
      <c r="E46" t="s">
        <v>145</v>
      </c>
      <c r="F46" t="s">
        <v>210</v>
      </c>
      <c r="G46" t="s">
        <v>168</v>
      </c>
      <c r="H46" t="s">
        <v>148</v>
      </c>
      <c r="I46" t="s">
        <v>149</v>
      </c>
    </row>
    <row r="47" spans="1:9" x14ac:dyDescent="0.25">
      <c r="A47" t="s">
        <v>247</v>
      </c>
      <c r="B47" t="s">
        <v>211</v>
      </c>
      <c r="C47" t="s">
        <v>134</v>
      </c>
      <c r="D47" t="s">
        <v>144</v>
      </c>
      <c r="E47" t="s">
        <v>145</v>
      </c>
      <c r="F47" t="s">
        <v>212</v>
      </c>
      <c r="G47" t="s">
        <v>168</v>
      </c>
      <c r="H47" t="s">
        <v>148</v>
      </c>
      <c r="I47" t="s">
        <v>149</v>
      </c>
    </row>
    <row r="48" spans="1:9" x14ac:dyDescent="0.25">
      <c r="A48" t="s">
        <v>249</v>
      </c>
      <c r="B48" t="s">
        <v>213</v>
      </c>
      <c r="C48" t="s">
        <v>134</v>
      </c>
      <c r="D48" t="s">
        <v>144</v>
      </c>
      <c r="E48" t="s">
        <v>145</v>
      </c>
      <c r="F48" t="s">
        <v>214</v>
      </c>
      <c r="G48" t="s">
        <v>168</v>
      </c>
      <c r="H48" t="s">
        <v>148</v>
      </c>
      <c r="I48" t="s">
        <v>149</v>
      </c>
    </row>
    <row r="49" spans="1:9" x14ac:dyDescent="0.25">
      <c r="A49" t="s">
        <v>248</v>
      </c>
      <c r="B49" t="s">
        <v>215</v>
      </c>
      <c r="C49" t="s">
        <v>134</v>
      </c>
      <c r="D49" t="s">
        <v>144</v>
      </c>
      <c r="E49" t="s">
        <v>145</v>
      </c>
      <c r="F49" t="s">
        <v>216</v>
      </c>
      <c r="G49" t="s">
        <v>168</v>
      </c>
      <c r="H49" t="s">
        <v>148</v>
      </c>
      <c r="I49" t="s">
        <v>149</v>
      </c>
    </row>
    <row r="50" spans="1:9" x14ac:dyDescent="0.25">
      <c r="A50" t="s">
        <v>250</v>
      </c>
      <c r="B50" t="s">
        <v>217</v>
      </c>
      <c r="C50" t="s">
        <v>134</v>
      </c>
      <c r="D50" t="s">
        <v>144</v>
      </c>
      <c r="E50" t="s">
        <v>145</v>
      </c>
      <c r="F50" t="s">
        <v>218</v>
      </c>
      <c r="G50" t="s">
        <v>168</v>
      </c>
      <c r="H50" t="s">
        <v>148</v>
      </c>
      <c r="I50" t="s">
        <v>149</v>
      </c>
    </row>
    <row r="51" spans="1:9" x14ac:dyDescent="0.25">
      <c r="A51" t="s">
        <v>251</v>
      </c>
      <c r="B51" t="s">
        <v>219</v>
      </c>
      <c r="C51" t="s">
        <v>134</v>
      </c>
      <c r="D51" t="s">
        <v>144</v>
      </c>
      <c r="E51" t="s">
        <v>145</v>
      </c>
      <c r="F51" t="s">
        <v>220</v>
      </c>
      <c r="G51" t="s">
        <v>168</v>
      </c>
      <c r="H51" t="s">
        <v>148</v>
      </c>
      <c r="I51" t="s">
        <v>149</v>
      </c>
    </row>
  </sheetData>
  <autoFilter ref="A6:I51" xr:uid="{FA9F789E-D057-47C1-85B7-7F368F5AC95F}">
    <filterColumn colId="4">
      <filters blank="1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327C-3BC9-49D1-8783-EE88FE7DB750}">
  <dimension ref="A1:F26"/>
  <sheetViews>
    <sheetView workbookViewId="0">
      <selection sqref="A1:D10"/>
    </sheetView>
  </sheetViews>
  <sheetFormatPr defaultRowHeight="15" x14ac:dyDescent="0.25"/>
  <cols>
    <col min="2" max="2" width="25.28515625" customWidth="1"/>
    <col min="3" max="3" width="13.7109375" customWidth="1"/>
    <col min="4" max="4" width="12.7109375" customWidth="1"/>
    <col min="5" max="5" width="10.85546875" customWidth="1"/>
  </cols>
  <sheetData>
    <row r="1" spans="1:6" x14ac:dyDescent="0.25">
      <c r="A1" t="s">
        <v>11</v>
      </c>
    </row>
    <row r="6" spans="1:6" x14ac:dyDescent="0.25">
      <c r="A6" t="s">
        <v>109</v>
      </c>
      <c r="B6" t="s">
        <v>112</v>
      </c>
      <c r="C6" t="s">
        <v>110</v>
      </c>
      <c r="D6" t="s">
        <v>111</v>
      </c>
      <c r="E6" t="s">
        <v>114</v>
      </c>
      <c r="F6" t="s">
        <v>123</v>
      </c>
    </row>
    <row r="7" spans="1:6" x14ac:dyDescent="0.25">
      <c r="A7">
        <v>1</v>
      </c>
      <c r="B7" t="s">
        <v>115</v>
      </c>
      <c r="C7" t="s">
        <v>116</v>
      </c>
      <c r="D7" t="s">
        <v>124</v>
      </c>
      <c r="E7">
        <v>2</v>
      </c>
      <c r="F7" t="b">
        <v>1</v>
      </c>
    </row>
    <row r="8" spans="1:6" x14ac:dyDescent="0.25">
      <c r="A8">
        <v>2</v>
      </c>
      <c r="B8" t="str">
        <f t="shared" ref="B8:B26" si="0">C8&amp;" to "&amp;D8</f>
        <v>Dexter to Jasper</v>
      </c>
      <c r="C8" t="s">
        <v>124</v>
      </c>
      <c r="D8" t="s">
        <v>1</v>
      </c>
      <c r="E8">
        <v>1</v>
      </c>
      <c r="F8" t="b">
        <v>1</v>
      </c>
    </row>
    <row r="9" spans="1:6" x14ac:dyDescent="0.25">
      <c r="A9">
        <v>3</v>
      </c>
      <c r="B9" t="str">
        <f t="shared" si="0"/>
        <v>Fall Creek to Jasper</v>
      </c>
      <c r="C9" t="s">
        <v>117</v>
      </c>
      <c r="D9" t="s">
        <v>1</v>
      </c>
      <c r="E9">
        <v>2</v>
      </c>
      <c r="F9" t="b">
        <v>1</v>
      </c>
    </row>
    <row r="10" spans="1:6" x14ac:dyDescent="0.25">
      <c r="A10">
        <v>4</v>
      </c>
      <c r="B10" t="str">
        <f t="shared" si="0"/>
        <v>Jasper to Harrisburg</v>
      </c>
      <c r="C10" t="s">
        <v>1</v>
      </c>
      <c r="D10" t="s">
        <v>4</v>
      </c>
      <c r="E10">
        <v>2</v>
      </c>
      <c r="F10" t="b">
        <v>1</v>
      </c>
    </row>
    <row r="11" spans="1:6" x14ac:dyDescent="0.25">
      <c r="A11">
        <v>5</v>
      </c>
      <c r="B11" t="str">
        <f t="shared" si="0"/>
        <v>Dorena to Goshen</v>
      </c>
      <c r="C11" t="s">
        <v>118</v>
      </c>
      <c r="D11" t="s">
        <v>2</v>
      </c>
      <c r="E11">
        <v>6</v>
      </c>
      <c r="F11" t="b">
        <v>1</v>
      </c>
    </row>
    <row r="12" spans="1:6" x14ac:dyDescent="0.25">
      <c r="A12">
        <v>6</v>
      </c>
      <c r="B12" t="str">
        <f t="shared" si="0"/>
        <v>Cottage Grove to Goshen</v>
      </c>
      <c r="C12" t="s">
        <v>119</v>
      </c>
      <c r="D12" t="s">
        <v>2</v>
      </c>
      <c r="E12">
        <v>6</v>
      </c>
      <c r="F12" t="b">
        <v>1</v>
      </c>
    </row>
    <row r="13" spans="1:6" x14ac:dyDescent="0.25">
      <c r="A13">
        <v>7</v>
      </c>
      <c r="B13" t="str">
        <f t="shared" si="0"/>
        <v>Goshen to Harrisburg</v>
      </c>
      <c r="C13" t="s">
        <v>2</v>
      </c>
      <c r="D13" t="s">
        <v>4</v>
      </c>
      <c r="E13">
        <v>1</v>
      </c>
      <c r="F13" t="b">
        <v>1</v>
      </c>
    </row>
    <row r="14" spans="1:6" x14ac:dyDescent="0.25">
      <c r="A14">
        <v>8</v>
      </c>
      <c r="B14" t="str">
        <f t="shared" si="0"/>
        <v>Blue River to Vida</v>
      </c>
      <c r="C14" t="s">
        <v>120</v>
      </c>
      <c r="D14" t="s">
        <v>3</v>
      </c>
      <c r="E14">
        <v>3</v>
      </c>
      <c r="F14" t="b">
        <v>1</v>
      </c>
    </row>
    <row r="15" spans="1:6" x14ac:dyDescent="0.25">
      <c r="A15">
        <v>9</v>
      </c>
      <c r="B15" t="str">
        <f t="shared" si="0"/>
        <v>Cougar to Vida</v>
      </c>
      <c r="C15" t="s">
        <v>121</v>
      </c>
      <c r="D15" t="s">
        <v>3</v>
      </c>
      <c r="E15">
        <v>4</v>
      </c>
      <c r="F15" t="b">
        <v>1</v>
      </c>
    </row>
    <row r="16" spans="1:6" x14ac:dyDescent="0.25">
      <c r="A16">
        <v>10</v>
      </c>
      <c r="B16" t="str">
        <f t="shared" si="0"/>
        <v>Vida to Harrisburg</v>
      </c>
      <c r="C16" t="s">
        <v>3</v>
      </c>
      <c r="D16" t="s">
        <v>4</v>
      </c>
      <c r="E16">
        <v>10</v>
      </c>
      <c r="F16" t="b">
        <v>1</v>
      </c>
    </row>
    <row r="17" spans="1:6" x14ac:dyDescent="0.25">
      <c r="A17">
        <v>11</v>
      </c>
      <c r="B17" t="str">
        <f t="shared" si="0"/>
        <v>Harrisburg to Albany</v>
      </c>
      <c r="C17" t="s">
        <v>4</v>
      </c>
      <c r="D17" t="s">
        <v>6</v>
      </c>
      <c r="E17">
        <v>24</v>
      </c>
      <c r="F17" t="b">
        <v>1</v>
      </c>
    </row>
    <row r="18" spans="1:6" x14ac:dyDescent="0.25">
      <c r="A18">
        <v>12</v>
      </c>
      <c r="B18" t="str">
        <f t="shared" si="0"/>
        <v>Fern Ridge to Monroe</v>
      </c>
      <c r="C18" t="s">
        <v>122</v>
      </c>
      <c r="D18" t="s">
        <v>5</v>
      </c>
      <c r="E18">
        <v>5</v>
      </c>
      <c r="F18" t="b">
        <v>1</v>
      </c>
    </row>
    <row r="19" spans="1:6" x14ac:dyDescent="0.25">
      <c r="A19">
        <v>13</v>
      </c>
      <c r="B19" t="str">
        <f t="shared" si="0"/>
        <v>Monroe to Albany</v>
      </c>
      <c r="C19" t="s">
        <v>5</v>
      </c>
      <c r="D19" t="s">
        <v>6</v>
      </c>
      <c r="E19">
        <v>18</v>
      </c>
      <c r="F19" t="b">
        <v>1</v>
      </c>
    </row>
    <row r="20" spans="1:6" x14ac:dyDescent="0.25">
      <c r="A20">
        <v>14</v>
      </c>
      <c r="B20" t="str">
        <f t="shared" si="0"/>
        <v>Albany to Salem</v>
      </c>
      <c r="C20" t="s">
        <v>6</v>
      </c>
      <c r="D20" t="s">
        <v>8</v>
      </c>
      <c r="E20">
        <v>8</v>
      </c>
      <c r="F20" t="b">
        <v>1</v>
      </c>
    </row>
    <row r="21" spans="1:6" x14ac:dyDescent="0.25">
      <c r="A21">
        <v>15</v>
      </c>
      <c r="B21" t="str">
        <f t="shared" si="0"/>
        <v>Foster to Waterloo</v>
      </c>
      <c r="C21" t="s">
        <v>113</v>
      </c>
      <c r="D21" t="s">
        <v>9</v>
      </c>
      <c r="E21">
        <v>5</v>
      </c>
      <c r="F21" t="b">
        <v>1</v>
      </c>
    </row>
    <row r="22" spans="1:6" x14ac:dyDescent="0.25">
      <c r="A22">
        <v>16</v>
      </c>
      <c r="B22" t="str">
        <f t="shared" si="0"/>
        <v>Waterloo to Jefferson</v>
      </c>
      <c r="C22" t="s">
        <v>9</v>
      </c>
      <c r="D22" t="s">
        <v>7</v>
      </c>
      <c r="E22">
        <v>6</v>
      </c>
      <c r="F22" t="b">
        <v>1</v>
      </c>
    </row>
    <row r="23" spans="1:6" x14ac:dyDescent="0.25">
      <c r="A23">
        <v>17</v>
      </c>
      <c r="B23" t="str">
        <f t="shared" si="0"/>
        <v>Big Cliff to Mehama</v>
      </c>
      <c r="C23" t="s">
        <v>125</v>
      </c>
      <c r="D23" t="s">
        <v>10</v>
      </c>
      <c r="E23">
        <v>3</v>
      </c>
      <c r="F23" t="b">
        <v>1</v>
      </c>
    </row>
    <row r="24" spans="1:6" x14ac:dyDescent="0.25">
      <c r="A24">
        <v>18</v>
      </c>
      <c r="B24" t="str">
        <f t="shared" si="0"/>
        <v>Mehama to Jefferson</v>
      </c>
      <c r="C24" t="s">
        <v>10</v>
      </c>
      <c r="D24" t="s">
        <v>7</v>
      </c>
      <c r="E24">
        <v>5</v>
      </c>
      <c r="F24" t="b">
        <v>1</v>
      </c>
    </row>
    <row r="25" spans="1:6" x14ac:dyDescent="0.25">
      <c r="A25">
        <v>19</v>
      </c>
      <c r="B25" t="str">
        <f t="shared" si="0"/>
        <v>Jefferson to Salem</v>
      </c>
      <c r="C25" t="s">
        <v>7</v>
      </c>
      <c r="D25" t="s">
        <v>8</v>
      </c>
      <c r="E25">
        <v>9</v>
      </c>
      <c r="F25" t="b">
        <v>1</v>
      </c>
    </row>
    <row r="26" spans="1:6" x14ac:dyDescent="0.25">
      <c r="A26">
        <v>20</v>
      </c>
      <c r="B26" t="str">
        <f t="shared" si="0"/>
        <v>Salem to Willamette Falls</v>
      </c>
      <c r="C26" t="s">
        <v>8</v>
      </c>
      <c r="D26" t="s">
        <v>108</v>
      </c>
      <c r="E26">
        <v>0</v>
      </c>
      <c r="F2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8B98-E46A-4C5D-ABD2-F7FE9851602C}">
  <dimension ref="A1:E17"/>
  <sheetViews>
    <sheetView tabSelected="1" workbookViewId="0">
      <selection activeCell="F6" sqref="F6"/>
    </sheetView>
  </sheetViews>
  <sheetFormatPr defaultRowHeight="15" x14ac:dyDescent="0.25"/>
  <cols>
    <col min="2" max="2" width="14.85546875" customWidth="1"/>
  </cols>
  <sheetData>
    <row r="1" spans="1:5" x14ac:dyDescent="0.25">
      <c r="A1" t="s">
        <v>11</v>
      </c>
    </row>
    <row r="2" spans="1:5" x14ac:dyDescent="0.25">
      <c r="A2" t="s">
        <v>131</v>
      </c>
    </row>
    <row r="3" spans="1:5" x14ac:dyDescent="0.25">
      <c r="A3" t="s">
        <v>256</v>
      </c>
    </row>
    <row r="4" spans="1:5" x14ac:dyDescent="0.25">
      <c r="A4" t="s">
        <v>257</v>
      </c>
    </row>
    <row r="6" spans="1:5" x14ac:dyDescent="0.25">
      <c r="A6" t="s">
        <v>109</v>
      </c>
      <c r="B6" t="s">
        <v>126</v>
      </c>
      <c r="C6" t="s">
        <v>130</v>
      </c>
      <c r="D6" t="s">
        <v>255</v>
      </c>
      <c r="E6" t="s">
        <v>258</v>
      </c>
    </row>
    <row r="7" spans="1:5" x14ac:dyDescent="0.25">
      <c r="A7">
        <v>1</v>
      </c>
      <c r="B7" t="s">
        <v>116</v>
      </c>
      <c r="C7">
        <v>6000</v>
      </c>
      <c r="D7">
        <v>400</v>
      </c>
      <c r="E7">
        <v>194.6</v>
      </c>
    </row>
    <row r="8" spans="1:5" x14ac:dyDescent="0.25">
      <c r="A8">
        <v>2</v>
      </c>
      <c r="B8" t="s">
        <v>127</v>
      </c>
      <c r="C8">
        <v>12000</v>
      </c>
      <c r="D8">
        <v>1200</v>
      </c>
      <c r="E8">
        <v>324.60000000000002</v>
      </c>
    </row>
    <row r="9" spans="1:5" x14ac:dyDescent="0.25">
      <c r="A9">
        <v>3</v>
      </c>
      <c r="B9" t="s">
        <v>117</v>
      </c>
      <c r="C9">
        <v>3800</v>
      </c>
      <c r="D9">
        <v>50</v>
      </c>
      <c r="E9">
        <v>106.5</v>
      </c>
    </row>
    <row r="10" spans="1:5" x14ac:dyDescent="0.25">
      <c r="A10">
        <v>4</v>
      </c>
      <c r="B10" t="s">
        <v>118</v>
      </c>
      <c r="C10">
        <v>4000</v>
      </c>
      <c r="D10">
        <v>100</v>
      </c>
      <c r="E10">
        <v>65</v>
      </c>
    </row>
    <row r="11" spans="1:5" x14ac:dyDescent="0.25">
      <c r="A11">
        <v>5</v>
      </c>
      <c r="B11" t="s">
        <v>119</v>
      </c>
      <c r="C11">
        <v>2500</v>
      </c>
      <c r="D11">
        <v>50</v>
      </c>
      <c r="E11">
        <v>28.7</v>
      </c>
    </row>
    <row r="12" spans="1:5" x14ac:dyDescent="0.25">
      <c r="A12">
        <v>6</v>
      </c>
      <c r="B12" t="s">
        <v>121</v>
      </c>
      <c r="C12">
        <v>5000</v>
      </c>
      <c r="D12">
        <v>300</v>
      </c>
      <c r="E12">
        <v>136.80000000000001</v>
      </c>
    </row>
    <row r="13" spans="1:5" x14ac:dyDescent="0.25">
      <c r="A13">
        <v>7</v>
      </c>
      <c r="B13" t="s">
        <v>120</v>
      </c>
      <c r="C13">
        <v>3000</v>
      </c>
      <c r="D13">
        <v>50</v>
      </c>
      <c r="E13">
        <v>78.8</v>
      </c>
    </row>
    <row r="14" spans="1:5" x14ac:dyDescent="0.25">
      <c r="A14">
        <v>8</v>
      </c>
      <c r="B14" t="s">
        <v>122</v>
      </c>
      <c r="C14">
        <v>3000</v>
      </c>
      <c r="D14">
        <v>50</v>
      </c>
      <c r="E14">
        <v>94.5</v>
      </c>
    </row>
    <row r="15" spans="1:5" x14ac:dyDescent="0.25">
      <c r="A15">
        <v>9</v>
      </c>
      <c r="B15" t="s">
        <v>128</v>
      </c>
      <c r="C15">
        <v>10000</v>
      </c>
      <c r="D15">
        <v>400</v>
      </c>
      <c r="E15">
        <v>249.9</v>
      </c>
    </row>
    <row r="16" spans="1:5" x14ac:dyDescent="0.25">
      <c r="A16">
        <v>10</v>
      </c>
      <c r="B16" t="s">
        <v>113</v>
      </c>
      <c r="C16">
        <v>15000</v>
      </c>
      <c r="D16">
        <v>400</v>
      </c>
      <c r="E16">
        <v>24.8</v>
      </c>
    </row>
    <row r="17" spans="1:5" x14ac:dyDescent="0.25">
      <c r="A17">
        <v>11</v>
      </c>
      <c r="B17" t="s">
        <v>129</v>
      </c>
      <c r="C17">
        <v>10000</v>
      </c>
      <c r="D17">
        <v>1000</v>
      </c>
      <c r="E17">
        <v>280.5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Readme_AboutThisFile</vt:lpstr>
      <vt:lpstr>Events</vt:lpstr>
      <vt:lpstr>LocalFlows</vt:lpstr>
      <vt:lpstr>TravelTimeReaches</vt:lpstr>
      <vt:lpstr>ResvMaxRel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Cahill</dc:creator>
  <cp:lastModifiedBy>Cahill, Ryan J CIV USARMY CENWP (USA)</cp:lastModifiedBy>
  <dcterms:created xsi:type="dcterms:W3CDTF">2021-10-19T19:32:32Z</dcterms:created>
  <dcterms:modified xsi:type="dcterms:W3CDTF">2026-07-24T21:12:57Z</dcterms:modified>
</cp:coreProperties>
</file>