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thon\Willamette_FIRO\data\common_data\"/>
    </mc:Choice>
  </mc:AlternateContent>
  <xr:revisionPtr revIDLastSave="0" documentId="13_ncr:1_{7D6E9153-EED6-4EFD-B753-1353D73E6655}" xr6:coauthVersionLast="47" xr6:coauthVersionMax="47" xr10:uidLastSave="{00000000-0000-0000-0000-000000000000}"/>
  <bookViews>
    <workbookView xWindow="30120" yWindow="3105" windowWidth="21600" windowHeight="11280" xr2:uid="{FC561D18-D4CD-4EFF-9AED-16460E500202}"/>
  </bookViews>
  <sheets>
    <sheet name="Reservoirs" sheetId="2" r:id="rId1"/>
  </sheets>
  <definedNames>
    <definedName name="_xlnm._FilterDatabase" localSheetId="0" hidden="1">Reservoirs!$A$6:$P$17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I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Cahill</author>
    <author>Cahill, Ryan J CIV USARMY CENWP (USA)</author>
  </authors>
  <commentList>
    <comment ref="C6" authorId="0" shapeId="0" xr:uid="{22014E07-8B99-44EC-A90F-5E9619EE5AEA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Intended to be the lowest operational outlet, not the minimum conservation. "RO Invert Elevation" from WillametteReservoirStatistics.xlsx unless otherwise notes</t>
        </r>
      </text>
    </comment>
    <comment ref="D6" authorId="0" shapeId="0" xr:uid="{7703FE8C-6CF1-4FE3-8C3F-AF5F8DBE2D98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"Full Pool" from WillametteReservoirStatistics.xlsx</t>
        </r>
      </text>
    </comment>
    <comment ref="E6" authorId="0" shapeId="0" xr:uid="{B8BE2FDC-7F18-445D-A446-015930C441B8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"Min Conservation Pool" from WillametteReservoirStatistics.xlsx</t>
        </r>
      </text>
    </comment>
    <comment ref="F6" authorId="0" shapeId="0" xr:uid="{F742BCCB-83A4-450B-9078-11FABA03805F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"Max Conservation Pool" from WillametteReservoirStatistics.xlsx</t>
        </r>
      </text>
    </comment>
    <comment ref="H6" authorId="1" shapeId="0" xr:uid="{702BC60D-34EE-4B71-A460-F1801BDF0A23}">
      <text>
        <r>
          <rPr>
            <b/>
            <sz val="9"/>
            <color indexed="81"/>
            <rFont val="Tahoma"/>
            <family val="2"/>
          </rPr>
          <t>Cahill, Ryan J CIV USARMY CENWP (USA):</t>
        </r>
        <r>
          <rPr>
            <sz val="9"/>
            <color indexed="81"/>
            <rFont val="Tahoma"/>
            <family val="2"/>
          </rPr>
          <t xml:space="preserve">
Deep drawdown target as of 8/27/2026</t>
        </r>
      </text>
    </comment>
    <comment ref="J6" authorId="1" shapeId="0" xr:uid="{D5D4704A-B2A8-4B4D-BBFD-698BBD4724E8}">
      <text>
        <r>
          <rPr>
            <b/>
            <sz val="9"/>
            <color indexed="81"/>
            <rFont val="Tahoma"/>
            <family val="2"/>
          </rPr>
          <t>Cahill, Ryan J CIV USARMY CENWP (USA):</t>
        </r>
        <r>
          <rPr>
            <sz val="9"/>
            <color indexed="81"/>
            <rFont val="Tahoma"/>
            <family val="2"/>
          </rPr>
          <t xml:space="preserve">
Dam Safety IRRM for seismic pool restriction</t>
        </r>
      </text>
    </comment>
    <comment ref="O6" authorId="1" shapeId="0" xr:uid="{CCFF0DCB-1040-4B9E-863B-7B9E2D9C3DC2}">
      <text>
        <r>
          <rPr>
            <b/>
            <sz val="9"/>
            <color indexed="81"/>
            <rFont val="Tahoma"/>
            <charset val="1"/>
          </rPr>
          <t>Cahill, Ryan J CIV USARMY CENWP (USA):</t>
        </r>
        <r>
          <rPr>
            <sz val="9"/>
            <color indexed="81"/>
            <rFont val="Tahoma"/>
            <charset val="1"/>
          </rPr>
          <t xml:space="preserve">
Sourced from "High flow period" min flow in WillametteReservoirStatistics.xlsx. This is not BiOp min.</t>
        </r>
      </text>
    </comment>
    <comment ref="I9" authorId="1" shapeId="0" xr:uid="{8175DB5E-5454-4436-8701-8A460BD0C610}">
      <text>
        <r>
          <rPr>
            <b/>
            <sz val="9"/>
            <color indexed="81"/>
            <rFont val="Tahoma"/>
            <family val="2"/>
          </rPr>
          <t>Cahill, Ryan J CIV USARMY CENWP (USA):</t>
        </r>
        <r>
          <rPr>
            <sz val="9"/>
            <color indexed="81"/>
            <rFont val="Tahoma"/>
            <family val="2"/>
          </rPr>
          <t xml:space="preserve">
From WCM, listed as "Minimum Pool". Inactive storage of 9,500 ac-ft listed matches up with Water_Control_Diagrams.xlsx, but it shows it down to 670 ft</t>
        </r>
      </text>
    </comment>
    <comment ref="C12" authorId="0" shapeId="0" xr:uid="{43748031-8996-4C09-89BF-3329905CB58D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Diversion Tunnel Invert</t>
        </r>
      </text>
    </comment>
    <comment ref="I12" authorId="1" shapeId="0" xr:uid="{3D688B94-6BD8-4251-B325-6FF1D9E901E2}">
      <text>
        <r>
          <rPr>
            <b/>
            <sz val="9"/>
            <color indexed="81"/>
            <rFont val="Tahoma"/>
            <family val="2"/>
          </rPr>
          <t>Cahill, Ryan J CIV USARMY CENWP (USA):</t>
        </r>
        <r>
          <rPr>
            <sz val="9"/>
            <color indexed="81"/>
            <rFont val="Tahoma"/>
            <family val="2"/>
          </rPr>
          <t xml:space="preserve">
Delayed Refill drawdown target</t>
        </r>
      </text>
    </comment>
    <comment ref="I14" authorId="1" shapeId="0" xr:uid="{154B68AA-68E9-465F-B684-56D047755F4C}">
      <text>
        <r>
          <rPr>
            <b/>
            <sz val="9"/>
            <color indexed="81"/>
            <rFont val="Tahoma"/>
            <family val="2"/>
          </rPr>
          <t>Cahill, Ryan J CIV USARMY CENWP (USA):</t>
        </r>
        <r>
          <rPr>
            <sz val="9"/>
            <color indexed="81"/>
            <rFont val="Tahoma"/>
            <family val="2"/>
          </rPr>
          <t xml:space="preserve">
"Low Point in Reservoir" per WCM. Says 2,800 of storage, which matches up with Water_Control_Manuals.xlsx</t>
        </r>
      </text>
    </comment>
    <comment ref="C16" authorId="0" shapeId="0" xr:uid="{B74998C1-0D4D-4384-A8B6-4049C2E287F7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No ROs, Turbine Invert elevation. Also spillway crest.</t>
        </r>
      </text>
    </comment>
    <comment ref="I16" authorId="0" shapeId="0" xr:uid="{63C6247A-B61C-4FF2-A4D4-EC6FD83FA72D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No ROs, Turbine Invert elevation. Also spillway crest.</t>
        </r>
      </text>
    </comment>
    <comment ref="C17" authorId="0" shapeId="0" xr:uid="{80A9B8BD-2B5B-47B7-A289-D2D0EBE3072A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Upper RO Invert</t>
        </r>
      </text>
    </comment>
  </commentList>
</comments>
</file>

<file path=xl/sharedStrings.xml><?xml version="1.0" encoding="utf-8"?>
<sst xmlns="http://schemas.openxmlformats.org/spreadsheetml/2006/main" count="32" uniqueCount="31">
  <si>
    <t>The top 5 lines of this sheet are reserved for descriptive comments. The headers should be in line 6 and data in row 7.</t>
  </si>
  <si>
    <t>OrderID</t>
  </si>
  <si>
    <t>Notes</t>
  </si>
  <si>
    <t>Hills Creek</t>
  </si>
  <si>
    <t>Lookout Point</t>
  </si>
  <si>
    <t>Fall Creek</t>
  </si>
  <si>
    <t>Dorena</t>
  </si>
  <si>
    <t>Cottage Grove</t>
  </si>
  <si>
    <t>Cougar</t>
  </si>
  <si>
    <t>Blue River</t>
  </si>
  <si>
    <t>Fern Ridge</t>
  </si>
  <si>
    <t>Green Peter</t>
  </si>
  <si>
    <t>Foster</t>
  </si>
  <si>
    <t>Detroit</t>
  </si>
  <si>
    <t>Has all reservoirs with significant storage (not reregs)</t>
  </si>
  <si>
    <t>ReservoirName</t>
  </si>
  <si>
    <t>MinElev</t>
  </si>
  <si>
    <t>MinConElev</t>
  </si>
  <si>
    <t>This is typically read by the scripts dealing with Synthetic inputs to ResSim and the starting pool storage.</t>
  </si>
  <si>
    <t>Contains key elevations used to calculate % of storage space available.</t>
  </si>
  <si>
    <t>MaxConElev</t>
  </si>
  <si>
    <t>IRRMElev</t>
  </si>
  <si>
    <t>NormalEvacRate</t>
  </si>
  <si>
    <t>MaxEvacRate</t>
  </si>
  <si>
    <t>SpillwayCrest</t>
  </si>
  <si>
    <t>MinPowerPool</t>
  </si>
  <si>
    <t>Data sourced from WillametteReservoirStatistics.xlsx unless otherwise noted</t>
  </si>
  <si>
    <t>FullPoolElev</t>
  </si>
  <si>
    <t>InactivePool</t>
  </si>
  <si>
    <t>DrawdownPool</t>
  </si>
  <si>
    <t>MinFlowFlood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</si>
</sst>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FD2-6A64-426A-9430-3B333C72098D}">
  <dimension ref="A1:P20"/>
  <sheetViews>
    <sheetView tabSelected="1" workbookViewId="0">
      <pane xSplit="2" ySplit="6" topLeftCell="F7" activePane="bottomRight" state="frozen"/>
      <selection pane="topRight" activeCell="C1" sqref="C1"/>
      <selection pane="bottomLeft" activeCell="A7" sqref="A7"/>
      <selection pane="bottomRight" activeCell="L9" sqref="L9"/>
    </sheetView>
  </sheetViews>
  <sheetFormatPr defaultRowHeight="15" x14ac:dyDescent="0.25"/>
  <cols>
    <col min="2" max="2" width="16.7109375" customWidth="1"/>
    <col min="3" max="3" width="12.5703125" customWidth="1"/>
    <col min="4" max="4" width="12.140625" customWidth="1"/>
    <col min="5" max="11" width="14.42578125" customWidth="1"/>
    <col min="12" max="12" width="18" customWidth="1"/>
    <col min="13" max="13" width="14.85546875" customWidth="1"/>
    <col min="14" max="15" width="16.140625" customWidth="1"/>
  </cols>
  <sheetData>
    <row r="1" spans="1:16" x14ac:dyDescent="0.25">
      <c r="A1" t="s">
        <v>0</v>
      </c>
    </row>
    <row r="2" spans="1:16" x14ac:dyDescent="0.25">
      <c r="A2" t="s">
        <v>14</v>
      </c>
    </row>
    <row r="3" spans="1:16" x14ac:dyDescent="0.25">
      <c r="A3" t="s">
        <v>19</v>
      </c>
    </row>
    <row r="4" spans="1:16" x14ac:dyDescent="0.25">
      <c r="A4" t="s">
        <v>18</v>
      </c>
    </row>
    <row r="5" spans="1:16" x14ac:dyDescent="0.25">
      <c r="A5" t="s">
        <v>26</v>
      </c>
    </row>
    <row r="6" spans="1:16" x14ac:dyDescent="0.25">
      <c r="A6" t="s">
        <v>1</v>
      </c>
      <c r="B6" t="s">
        <v>15</v>
      </c>
      <c r="C6" t="s">
        <v>16</v>
      </c>
      <c r="D6" t="s">
        <v>27</v>
      </c>
      <c r="E6" t="s">
        <v>17</v>
      </c>
      <c r="F6" t="s">
        <v>20</v>
      </c>
      <c r="G6" t="s">
        <v>25</v>
      </c>
      <c r="H6" t="s">
        <v>29</v>
      </c>
      <c r="I6" t="s">
        <v>28</v>
      </c>
      <c r="J6" t="s">
        <v>21</v>
      </c>
      <c r="K6" t="s">
        <v>24</v>
      </c>
      <c r="L6" t="s">
        <v>22</v>
      </c>
      <c r="M6" t="s">
        <v>23</v>
      </c>
      <c r="N6" t="s">
        <v>24</v>
      </c>
      <c r="O6" t="s">
        <v>30</v>
      </c>
      <c r="P6" t="s">
        <v>2</v>
      </c>
    </row>
    <row r="7" spans="1:16" x14ac:dyDescent="0.25">
      <c r="A7">
        <v>1</v>
      </c>
      <c r="B7" s="1" t="s">
        <v>3</v>
      </c>
      <c r="C7" s="1">
        <v>1408.75</v>
      </c>
      <c r="D7" s="1">
        <v>1543</v>
      </c>
      <c r="E7" s="1">
        <v>1448</v>
      </c>
      <c r="F7" s="1">
        <v>1541</v>
      </c>
      <c r="G7" s="1">
        <v>1414</v>
      </c>
      <c r="H7" s="1"/>
      <c r="I7" s="1"/>
      <c r="J7" s="1">
        <v>1511</v>
      </c>
      <c r="K7" s="1">
        <v>1495.5</v>
      </c>
      <c r="L7" s="1">
        <v>6000</v>
      </c>
      <c r="M7" s="1">
        <v>8000</v>
      </c>
      <c r="N7" s="1">
        <v>1495.5</v>
      </c>
      <c r="O7" s="1">
        <v>400</v>
      </c>
    </row>
    <row r="8" spans="1:16" x14ac:dyDescent="0.25">
      <c r="A8">
        <v>2</v>
      </c>
      <c r="B8" t="s">
        <v>4</v>
      </c>
      <c r="C8" s="1">
        <v>724</v>
      </c>
      <c r="D8" s="1">
        <v>929</v>
      </c>
      <c r="E8" s="1">
        <v>825</v>
      </c>
      <c r="F8" s="1">
        <v>926</v>
      </c>
      <c r="G8" s="1">
        <v>819</v>
      </c>
      <c r="H8" s="1">
        <v>750</v>
      </c>
      <c r="J8" s="1">
        <v>921</v>
      </c>
      <c r="K8" s="1">
        <v>887.5</v>
      </c>
      <c r="L8" s="1">
        <v>12000</v>
      </c>
      <c r="M8" s="1">
        <v>15000</v>
      </c>
      <c r="N8" s="1">
        <v>887.5</v>
      </c>
      <c r="O8" s="1">
        <v>1200</v>
      </c>
    </row>
    <row r="9" spans="1:16" x14ac:dyDescent="0.25">
      <c r="A9">
        <v>3</v>
      </c>
      <c r="B9" t="s">
        <v>5</v>
      </c>
      <c r="C9" s="1">
        <v>670</v>
      </c>
      <c r="D9" s="1">
        <v>834</v>
      </c>
      <c r="E9" s="1">
        <v>728</v>
      </c>
      <c r="F9" s="1">
        <v>830</v>
      </c>
      <c r="G9" s="1"/>
      <c r="H9" s="1">
        <v>680</v>
      </c>
      <c r="I9" s="1">
        <v>673</v>
      </c>
      <c r="J9" s="1"/>
      <c r="K9" s="1">
        <v>791.6</v>
      </c>
      <c r="L9" s="1">
        <v>3800</v>
      </c>
      <c r="M9" s="1">
        <v>4500</v>
      </c>
      <c r="N9" s="1">
        <v>791.6</v>
      </c>
      <c r="O9" s="1">
        <v>50</v>
      </c>
    </row>
    <row r="10" spans="1:16" x14ac:dyDescent="0.25">
      <c r="A10">
        <v>4</v>
      </c>
      <c r="B10" t="s">
        <v>6</v>
      </c>
      <c r="C10" s="1">
        <v>739</v>
      </c>
      <c r="D10" s="1">
        <v>835</v>
      </c>
      <c r="E10" s="1">
        <v>770.5</v>
      </c>
      <c r="F10" s="1">
        <v>832</v>
      </c>
      <c r="G10" s="1"/>
      <c r="H10" s="1"/>
      <c r="I10" s="1">
        <f>C10</f>
        <v>739</v>
      </c>
      <c r="J10" s="1"/>
      <c r="K10" s="1">
        <v>835</v>
      </c>
      <c r="L10" s="1">
        <v>4000</v>
      </c>
      <c r="M10" s="1">
        <v>5000</v>
      </c>
      <c r="N10" s="1">
        <v>791</v>
      </c>
      <c r="O10" s="1">
        <v>100</v>
      </c>
    </row>
    <row r="11" spans="1:16" x14ac:dyDescent="0.25">
      <c r="A11">
        <v>5</v>
      </c>
      <c r="B11" t="s">
        <v>7</v>
      </c>
      <c r="C11" s="1">
        <v>719</v>
      </c>
      <c r="D11" s="1">
        <v>791</v>
      </c>
      <c r="E11" s="1">
        <v>750</v>
      </c>
      <c r="F11" s="1">
        <v>790</v>
      </c>
      <c r="G11" s="1"/>
      <c r="H11" s="1"/>
      <c r="I11" s="1">
        <f>C11</f>
        <v>719</v>
      </c>
      <c r="J11" s="1"/>
      <c r="K11" s="1">
        <v>791</v>
      </c>
      <c r="L11" s="1">
        <v>2500</v>
      </c>
      <c r="M11" s="1">
        <v>3000</v>
      </c>
      <c r="N11" s="1">
        <v>835</v>
      </c>
      <c r="O11" s="1">
        <v>50</v>
      </c>
    </row>
    <row r="12" spans="1:16" x14ac:dyDescent="0.25">
      <c r="A12">
        <v>6</v>
      </c>
      <c r="B12" t="s">
        <v>8</v>
      </c>
      <c r="C12" s="1">
        <v>1290</v>
      </c>
      <c r="D12" s="1">
        <v>1699</v>
      </c>
      <c r="E12" s="1">
        <v>1532</v>
      </c>
      <c r="F12" s="1">
        <v>1690</v>
      </c>
      <c r="G12" s="1">
        <v>1516</v>
      </c>
      <c r="H12" s="1"/>
      <c r="I12" s="1">
        <v>1505</v>
      </c>
      <c r="J12" s="1"/>
      <c r="K12" s="1">
        <v>1656.75</v>
      </c>
      <c r="L12" s="1">
        <v>3000</v>
      </c>
      <c r="M12" s="1">
        <v>4000</v>
      </c>
      <c r="N12" s="1">
        <v>358.5</v>
      </c>
      <c r="O12" s="1">
        <v>300</v>
      </c>
    </row>
    <row r="13" spans="1:16" x14ac:dyDescent="0.25">
      <c r="A13">
        <v>7</v>
      </c>
      <c r="B13" t="s">
        <v>9</v>
      </c>
      <c r="C13" s="1">
        <v>1132</v>
      </c>
      <c r="D13" s="1">
        <v>1357</v>
      </c>
      <c r="E13" s="1">
        <v>1180</v>
      </c>
      <c r="F13" s="1">
        <v>1350</v>
      </c>
      <c r="G13" s="1"/>
      <c r="H13" s="1"/>
      <c r="I13" s="1"/>
      <c r="J13" s="1"/>
      <c r="K13" s="1">
        <v>1321</v>
      </c>
      <c r="L13" s="1">
        <v>5000</v>
      </c>
      <c r="M13" s="1">
        <v>6500</v>
      </c>
      <c r="N13" s="1">
        <v>1656.75</v>
      </c>
      <c r="O13" s="1">
        <v>50</v>
      </c>
    </row>
    <row r="14" spans="1:16" x14ac:dyDescent="0.25">
      <c r="A14">
        <v>8</v>
      </c>
      <c r="B14" t="s">
        <v>10</v>
      </c>
      <c r="C14" s="1">
        <v>340</v>
      </c>
      <c r="D14" s="1">
        <v>375.1</v>
      </c>
      <c r="E14" s="1">
        <v>353</v>
      </c>
      <c r="F14" s="1">
        <v>373.5</v>
      </c>
      <c r="G14" s="1"/>
      <c r="H14" s="1"/>
      <c r="I14" s="1">
        <v>347</v>
      </c>
      <c r="J14" s="1"/>
      <c r="K14" s="1">
        <v>358.5</v>
      </c>
      <c r="L14" s="1">
        <v>3000</v>
      </c>
      <c r="M14" s="1">
        <v>3700</v>
      </c>
      <c r="N14" s="1">
        <v>1321</v>
      </c>
      <c r="O14" s="1">
        <v>50</v>
      </c>
    </row>
    <row r="15" spans="1:16" x14ac:dyDescent="0.25">
      <c r="A15">
        <v>9</v>
      </c>
      <c r="B15" t="s">
        <v>11</v>
      </c>
      <c r="C15" s="1">
        <v>745</v>
      </c>
      <c r="D15" s="1">
        <v>1015</v>
      </c>
      <c r="E15" s="1">
        <v>922</v>
      </c>
      <c r="F15" s="1">
        <v>1010</v>
      </c>
      <c r="G15" s="1">
        <v>887</v>
      </c>
      <c r="H15" s="1">
        <v>780</v>
      </c>
      <c r="J15" s="1"/>
      <c r="K15" s="1">
        <v>968.7</v>
      </c>
      <c r="L15" s="1">
        <v>10000</v>
      </c>
      <c r="M15" s="1">
        <v>13000</v>
      </c>
      <c r="N15" s="1">
        <v>968.7</v>
      </c>
      <c r="O15" s="1">
        <v>50</v>
      </c>
    </row>
    <row r="16" spans="1:16" x14ac:dyDescent="0.25">
      <c r="A16">
        <v>10</v>
      </c>
      <c r="B16" t="s">
        <v>12</v>
      </c>
      <c r="C16" s="1">
        <v>596.79999999999995</v>
      </c>
      <c r="D16" s="1">
        <v>641</v>
      </c>
      <c r="E16" s="1">
        <v>613</v>
      </c>
      <c r="F16" s="1">
        <v>637</v>
      </c>
      <c r="G16" s="1">
        <v>609</v>
      </c>
      <c r="H16" s="1"/>
      <c r="I16" s="1">
        <v>596.79999999999995</v>
      </c>
      <c r="J16" s="1"/>
      <c r="K16" s="1">
        <v>596.79999999999995</v>
      </c>
      <c r="L16" s="1">
        <v>15000</v>
      </c>
      <c r="M16" s="1">
        <v>18000</v>
      </c>
      <c r="N16" s="1">
        <v>596.79999999999995</v>
      </c>
      <c r="O16" s="1">
        <v>50</v>
      </c>
    </row>
    <row r="17" spans="1:15" x14ac:dyDescent="0.25">
      <c r="A17">
        <v>11</v>
      </c>
      <c r="B17" t="s">
        <v>13</v>
      </c>
      <c r="C17" s="1">
        <v>1335</v>
      </c>
      <c r="D17" s="1">
        <v>1569</v>
      </c>
      <c r="E17" s="1">
        <v>1450</v>
      </c>
      <c r="F17" s="1">
        <v>1563.5</v>
      </c>
      <c r="G17">
        <v>1425</v>
      </c>
      <c r="H17">
        <v>1395</v>
      </c>
      <c r="J17" s="1">
        <v>1558.5</v>
      </c>
      <c r="K17">
        <v>1541</v>
      </c>
      <c r="L17" s="1">
        <v>10000</v>
      </c>
      <c r="M17" s="1">
        <v>17000</v>
      </c>
      <c r="N17" s="1">
        <v>1541</v>
      </c>
      <c r="O17" s="1">
        <v>1000</v>
      </c>
    </row>
    <row r="19" spans="1:15" x14ac:dyDescent="0.25">
      <c r="L19" s="1"/>
      <c r="M19" s="1"/>
    </row>
    <row r="20" spans="1:15" x14ac:dyDescent="0.25">
      <c r="K20" s="1"/>
    </row>
  </sheetData>
  <autoFilter ref="A6:P17" xr:uid="{D5329979-E54C-48B7-8E55-3C9F10950753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Reservoirs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Cahill</dc:creator>
  <cp:lastModifiedBy>Cahill, Ryan J CIV USARMY CENWP (USA)</cp:lastModifiedBy>
  <dcterms:created xsi:type="dcterms:W3CDTF">2022-03-10T17:38:40Z</dcterms:created>
  <dcterms:modified xsi:type="dcterms:W3CDTF">2026-10-23T21:51:43Z</dcterms:modified>
</cp:coreProperties>
</file>