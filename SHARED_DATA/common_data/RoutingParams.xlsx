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Working\FIRO\RoutingTimes\data\"/>
    </mc:Choice>
  </mc:AlternateContent>
  <xr:revisionPtr revIDLastSave="0" documentId="13_ncr:1_{D035337B-C3F6-49B9-9865-305B02AD5B80}" xr6:coauthVersionLast="47" xr6:coauthVersionMax="47" xr10:uidLastSave="{00000000-0000-0000-0000-000000000000}"/>
  <bookViews>
    <workbookView xWindow="-120" yWindow="-90" windowWidth="29040" windowHeight="15690" activeTab="1" xr2:uid="{28D98530-9A78-4085-990E-6D84D2F505AB}"/>
  </bookViews>
  <sheets>
    <sheet name="Readme_AboutThisFile" sheetId="8" r:id="rId1"/>
    <sheet name="Reaches" sheetId="11" r:id="rId2"/>
    <sheet name="Junctions" sheetId="12" r:id="rId3"/>
    <sheet name="Muskingum" sheetId="4" r:id="rId4"/>
    <sheet name="ModPuls" sheetId="5" r:id="rId5"/>
  </sheets>
  <definedNames>
    <definedName name="_xlnm._FilterDatabase" localSheetId="2" hidden="1">Junctions!$A$6:$K$61</definedName>
    <definedName name="_xlnm._FilterDatabase" localSheetId="1" hidden="1">Reaches!$A$6:$L$60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88" i="5" l="1"/>
  <c r="A888" i="5"/>
  <c r="A862" i="5"/>
  <c r="A863" i="5"/>
  <c r="A864" i="5" s="1"/>
  <c r="D862" i="5"/>
  <c r="D840" i="5"/>
  <c r="A841" i="5"/>
  <c r="A842" i="5" s="1"/>
  <c r="A843" i="5" s="1"/>
  <c r="A818" i="5"/>
  <c r="A819" i="5" s="1"/>
  <c r="A820" i="5" s="1"/>
  <c r="D817" i="5"/>
  <c r="D795" i="5"/>
  <c r="A796" i="5"/>
  <c r="A797" i="5" s="1"/>
  <c r="A772" i="5"/>
  <c r="A773" i="5" s="1"/>
  <c r="A774" i="5" s="1"/>
  <c r="D771" i="5"/>
  <c r="D744" i="5"/>
  <c r="A745" i="5"/>
  <c r="A746" i="5" s="1"/>
  <c r="D717" i="5"/>
  <c r="A718" i="5"/>
  <c r="A719" i="5" s="1"/>
  <c r="D690" i="5"/>
  <c r="D663" i="5"/>
  <c r="A664" i="5"/>
  <c r="A665" i="5" s="1"/>
  <c r="A637" i="5"/>
  <c r="D636" i="5"/>
  <c r="D609" i="5"/>
  <c r="A610" i="5"/>
  <c r="D582" i="5"/>
  <c r="A561" i="5"/>
  <c r="A562" i="5" s="1"/>
  <c r="A563" i="5" s="1"/>
  <c r="D560" i="5"/>
  <c r="A539" i="5"/>
  <c r="A540" i="5" s="1"/>
  <c r="D538" i="5"/>
  <c r="A475" i="5"/>
  <c r="A476" i="5" s="1"/>
  <c r="D474" i="5"/>
  <c r="D452" i="5"/>
  <c r="D430" i="5"/>
  <c r="D407" i="5"/>
  <c r="D384" i="5"/>
  <c r="D114" i="5"/>
  <c r="L10" i="11"/>
  <c r="L11" i="11"/>
  <c r="C770" i="5" l="1"/>
  <c r="C769" i="5"/>
  <c r="C768" i="5"/>
  <c r="C767" i="5"/>
  <c r="C766" i="5"/>
  <c r="C765" i="5"/>
  <c r="C764" i="5"/>
  <c r="C763" i="5"/>
  <c r="C762" i="5"/>
  <c r="C761" i="5"/>
  <c r="C760" i="5"/>
  <c r="C759" i="5"/>
  <c r="C758" i="5"/>
  <c r="C757" i="5"/>
  <c r="C756" i="5"/>
  <c r="C755" i="5"/>
  <c r="C754" i="5"/>
  <c r="C753" i="5"/>
  <c r="C752" i="5"/>
  <c r="C751" i="5"/>
  <c r="C750" i="5"/>
  <c r="C749" i="5"/>
  <c r="C748" i="5"/>
  <c r="C747" i="5"/>
  <c r="C746" i="5"/>
  <c r="C745" i="5"/>
  <c r="A747" i="5"/>
  <c r="A748" i="5" s="1"/>
  <c r="A749" i="5" s="1"/>
  <c r="A750" i="5" s="1"/>
  <c r="A751" i="5" s="1"/>
  <c r="A752" i="5" s="1"/>
  <c r="A753" i="5" s="1"/>
  <c r="A754" i="5" s="1"/>
  <c r="A755" i="5" s="1"/>
  <c r="A756" i="5" s="1"/>
  <c r="A757" i="5" s="1"/>
  <c r="A758" i="5" s="1"/>
  <c r="A759" i="5" s="1"/>
  <c r="A760" i="5" s="1"/>
  <c r="A761" i="5" s="1"/>
  <c r="A762" i="5" s="1"/>
  <c r="A763" i="5" s="1"/>
  <c r="A764" i="5" s="1"/>
  <c r="A765" i="5" s="1"/>
  <c r="A766" i="5" s="1"/>
  <c r="A767" i="5" s="1"/>
  <c r="A768" i="5" s="1"/>
  <c r="A769" i="5" s="1"/>
  <c r="A770" i="5" s="1"/>
  <c r="A771" i="5" s="1"/>
  <c r="E46" i="11"/>
  <c r="C31" i="5" l="1"/>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3" i="5"/>
  <c r="C344" i="5"/>
  <c r="C345" i="5"/>
  <c r="C346" i="5"/>
  <c r="C347" i="5"/>
  <c r="C348" i="5"/>
  <c r="C349" i="5"/>
  <c r="C350" i="5"/>
  <c r="C351" i="5"/>
  <c r="C352" i="5"/>
  <c r="C353" i="5"/>
  <c r="C354" i="5"/>
  <c r="C355" i="5"/>
  <c r="C356" i="5"/>
  <c r="C357" i="5"/>
  <c r="C358" i="5"/>
  <c r="C359" i="5"/>
  <c r="C360" i="5"/>
  <c r="C361" i="5"/>
  <c r="C362" i="5"/>
  <c r="C364" i="5"/>
  <c r="C365" i="5"/>
  <c r="C366" i="5"/>
  <c r="C367" i="5"/>
  <c r="C368" i="5"/>
  <c r="C369" i="5"/>
  <c r="C370" i="5"/>
  <c r="C371" i="5"/>
  <c r="C372" i="5"/>
  <c r="C373" i="5"/>
  <c r="C374" i="5"/>
  <c r="C375" i="5"/>
  <c r="C376" i="5"/>
  <c r="C377" i="5"/>
  <c r="C378" i="5"/>
  <c r="C379" i="5"/>
  <c r="C380" i="5"/>
  <c r="C381" i="5"/>
  <c r="C382" i="5"/>
  <c r="C383" i="5"/>
  <c r="C386" i="5"/>
  <c r="C387" i="5"/>
  <c r="C388" i="5"/>
  <c r="C389" i="5"/>
  <c r="C390" i="5"/>
  <c r="C391" i="5"/>
  <c r="C392" i="5"/>
  <c r="C393" i="5"/>
  <c r="C394" i="5"/>
  <c r="C395" i="5"/>
  <c r="C396" i="5"/>
  <c r="C397" i="5"/>
  <c r="C398" i="5"/>
  <c r="C399" i="5"/>
  <c r="C400" i="5"/>
  <c r="C401" i="5"/>
  <c r="C402" i="5"/>
  <c r="C403" i="5"/>
  <c r="C404" i="5"/>
  <c r="C405" i="5"/>
  <c r="C406" i="5"/>
  <c r="C408" i="5"/>
  <c r="C409" i="5"/>
  <c r="C410" i="5"/>
  <c r="C411" i="5"/>
  <c r="C412" i="5"/>
  <c r="C413" i="5"/>
  <c r="C414" i="5"/>
  <c r="C415" i="5"/>
  <c r="C416" i="5"/>
  <c r="C417" i="5"/>
  <c r="C418" i="5"/>
  <c r="C419" i="5"/>
  <c r="C420" i="5"/>
  <c r="C421" i="5"/>
  <c r="C422" i="5"/>
  <c r="C423" i="5"/>
  <c r="C424" i="5"/>
  <c r="C425" i="5"/>
  <c r="C426" i="5"/>
  <c r="C427" i="5"/>
  <c r="C428" i="5"/>
  <c r="C429" i="5"/>
  <c r="C431" i="5"/>
  <c r="C432" i="5"/>
  <c r="C433" i="5"/>
  <c r="C434" i="5"/>
  <c r="C435" i="5"/>
  <c r="C436" i="5"/>
  <c r="C437" i="5"/>
  <c r="C438" i="5"/>
  <c r="C439" i="5"/>
  <c r="C440" i="5"/>
  <c r="C441" i="5"/>
  <c r="C442" i="5"/>
  <c r="C443" i="5"/>
  <c r="C444" i="5"/>
  <c r="C445" i="5"/>
  <c r="C446" i="5"/>
  <c r="C447" i="5"/>
  <c r="C448" i="5"/>
  <c r="C449" i="5"/>
  <c r="C450" i="5"/>
  <c r="C451" i="5"/>
  <c r="C454" i="5"/>
  <c r="C455" i="5"/>
  <c r="C456" i="5"/>
  <c r="C457" i="5"/>
  <c r="C458" i="5"/>
  <c r="C459" i="5"/>
  <c r="C460" i="5"/>
  <c r="C461" i="5"/>
  <c r="C462" i="5"/>
  <c r="C463" i="5"/>
  <c r="C464" i="5"/>
  <c r="C465" i="5"/>
  <c r="C466" i="5"/>
  <c r="C467" i="5"/>
  <c r="C468" i="5"/>
  <c r="C469" i="5"/>
  <c r="C470" i="5"/>
  <c r="C471" i="5"/>
  <c r="C472" i="5"/>
  <c r="C473" i="5"/>
  <c r="C476" i="5"/>
  <c r="C477" i="5"/>
  <c r="C478" i="5"/>
  <c r="C479" i="5"/>
  <c r="C480" i="5"/>
  <c r="C481" i="5"/>
  <c r="C482" i="5"/>
  <c r="C483" i="5"/>
  <c r="C484" i="5"/>
  <c r="C485" i="5"/>
  <c r="C486" i="5"/>
  <c r="C487" i="5"/>
  <c r="C488" i="5"/>
  <c r="C489" i="5"/>
  <c r="C490" i="5"/>
  <c r="C491" i="5"/>
  <c r="C492" i="5"/>
  <c r="C493" i="5"/>
  <c r="C494" i="5"/>
  <c r="C495" i="5"/>
  <c r="C497" i="5"/>
  <c r="C498" i="5"/>
  <c r="C499" i="5"/>
  <c r="C500" i="5"/>
  <c r="C501" i="5"/>
  <c r="C502" i="5"/>
  <c r="C503" i="5"/>
  <c r="C504" i="5"/>
  <c r="C505" i="5"/>
  <c r="C506" i="5"/>
  <c r="C507" i="5"/>
  <c r="C508" i="5"/>
  <c r="C509" i="5"/>
  <c r="C510" i="5"/>
  <c r="C511" i="5"/>
  <c r="C512" i="5"/>
  <c r="C513" i="5"/>
  <c r="C514" i="5"/>
  <c r="C515" i="5"/>
  <c r="C516" i="5"/>
  <c r="C518" i="5"/>
  <c r="C519" i="5"/>
  <c r="C520" i="5"/>
  <c r="C521" i="5"/>
  <c r="C522" i="5"/>
  <c r="C523" i="5"/>
  <c r="C524" i="5"/>
  <c r="C525" i="5"/>
  <c r="C526" i="5"/>
  <c r="C527" i="5"/>
  <c r="C528" i="5"/>
  <c r="C529" i="5"/>
  <c r="C530" i="5"/>
  <c r="C531" i="5"/>
  <c r="C532" i="5"/>
  <c r="C533" i="5"/>
  <c r="C534" i="5"/>
  <c r="C535" i="5"/>
  <c r="C536" i="5"/>
  <c r="C537" i="5"/>
  <c r="C540" i="5"/>
  <c r="C541" i="5"/>
  <c r="C542" i="5"/>
  <c r="C543" i="5"/>
  <c r="C544" i="5"/>
  <c r="C545" i="5"/>
  <c r="C546" i="5"/>
  <c r="C547" i="5"/>
  <c r="C548" i="5"/>
  <c r="C549" i="5"/>
  <c r="C550" i="5"/>
  <c r="C551" i="5"/>
  <c r="C552" i="5"/>
  <c r="C553" i="5"/>
  <c r="C554" i="5"/>
  <c r="C555" i="5"/>
  <c r="C556" i="5"/>
  <c r="C557" i="5"/>
  <c r="C558" i="5"/>
  <c r="C559" i="5"/>
  <c r="C561" i="5"/>
  <c r="C562" i="5"/>
  <c r="C563" i="5"/>
  <c r="C564" i="5"/>
  <c r="C565" i="5"/>
  <c r="C566" i="5"/>
  <c r="C567" i="5"/>
  <c r="C568" i="5"/>
  <c r="C569" i="5"/>
  <c r="C570" i="5"/>
  <c r="C571" i="5"/>
  <c r="C572" i="5"/>
  <c r="C573" i="5"/>
  <c r="C574" i="5"/>
  <c r="C575" i="5"/>
  <c r="C576" i="5"/>
  <c r="C577" i="5"/>
  <c r="C578" i="5"/>
  <c r="C579" i="5"/>
  <c r="C580" i="5"/>
  <c r="C581"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73" i="5"/>
  <c r="C774" i="5"/>
  <c r="C775" i="5"/>
  <c r="C776" i="5"/>
  <c r="C777" i="5"/>
  <c r="C778" i="5"/>
  <c r="C779" i="5"/>
  <c r="C780" i="5"/>
  <c r="C781" i="5"/>
  <c r="C782" i="5"/>
  <c r="C783" i="5"/>
  <c r="C784" i="5"/>
  <c r="C785" i="5"/>
  <c r="C786" i="5"/>
  <c r="C787" i="5"/>
  <c r="C788" i="5"/>
  <c r="C789" i="5"/>
  <c r="C790" i="5"/>
  <c r="C791" i="5"/>
  <c r="C792" i="5"/>
  <c r="C796" i="5"/>
  <c r="C797" i="5"/>
  <c r="C798" i="5"/>
  <c r="C799" i="5"/>
  <c r="C800" i="5"/>
  <c r="C801" i="5"/>
  <c r="C802" i="5"/>
  <c r="C803" i="5"/>
  <c r="C804" i="5"/>
  <c r="C805" i="5"/>
  <c r="C806" i="5"/>
  <c r="C807" i="5"/>
  <c r="C808" i="5"/>
  <c r="C809" i="5"/>
  <c r="C810" i="5"/>
  <c r="C811" i="5"/>
  <c r="C812" i="5"/>
  <c r="C813" i="5"/>
  <c r="C814" i="5"/>
  <c r="C815" i="5"/>
  <c r="C816" i="5"/>
  <c r="C819" i="5"/>
  <c r="C820" i="5"/>
  <c r="C821" i="5"/>
  <c r="C822" i="5"/>
  <c r="C823" i="5"/>
  <c r="C824" i="5"/>
  <c r="C825" i="5"/>
  <c r="C826" i="5"/>
  <c r="C827" i="5"/>
  <c r="C828" i="5"/>
  <c r="C829" i="5"/>
  <c r="C830" i="5"/>
  <c r="C831" i="5"/>
  <c r="C832" i="5"/>
  <c r="C833" i="5"/>
  <c r="C834" i="5"/>
  <c r="C835" i="5"/>
  <c r="C836" i="5"/>
  <c r="C837" i="5"/>
  <c r="C838" i="5"/>
  <c r="C841" i="5"/>
  <c r="C842" i="5"/>
  <c r="C843" i="5"/>
  <c r="C844" i="5"/>
  <c r="C845" i="5"/>
  <c r="C846" i="5"/>
  <c r="C847" i="5"/>
  <c r="C848" i="5"/>
  <c r="C849" i="5"/>
  <c r="C850" i="5"/>
  <c r="C851" i="5"/>
  <c r="C852" i="5"/>
  <c r="C853" i="5"/>
  <c r="C854" i="5"/>
  <c r="C855" i="5"/>
  <c r="C856" i="5"/>
  <c r="C857" i="5"/>
  <c r="C858" i="5"/>
  <c r="C859" i="5"/>
  <c r="C860" i="5"/>
  <c r="C861" i="5"/>
  <c r="C863" i="5"/>
  <c r="C864" i="5"/>
  <c r="C865" i="5"/>
  <c r="C866" i="5"/>
  <c r="C867" i="5"/>
  <c r="C868" i="5"/>
  <c r="C869" i="5"/>
  <c r="C870" i="5"/>
  <c r="C871" i="5"/>
  <c r="C872" i="5"/>
  <c r="C873" i="5"/>
  <c r="C874" i="5"/>
  <c r="C875" i="5"/>
  <c r="C876" i="5"/>
  <c r="C877" i="5"/>
  <c r="C878" i="5"/>
  <c r="C879" i="5"/>
  <c r="C880" i="5"/>
  <c r="C881" i="5"/>
  <c r="C882" i="5"/>
  <c r="C883" i="5"/>
  <c r="C15" i="5"/>
  <c r="C16" i="5"/>
  <c r="C17" i="5"/>
  <c r="C18" i="5"/>
  <c r="C19" i="5"/>
  <c r="C20" i="5"/>
  <c r="C21" i="5"/>
  <c r="C22" i="5"/>
  <c r="C23" i="5"/>
  <c r="C24" i="5"/>
  <c r="C25" i="5"/>
  <c r="C26" i="5"/>
  <c r="C27" i="5"/>
  <c r="C28" i="5"/>
  <c r="C29" i="5"/>
  <c r="C30" i="5"/>
  <c r="C8" i="5"/>
  <c r="C9" i="5"/>
  <c r="C10" i="5"/>
  <c r="C11" i="5"/>
  <c r="C12" i="5"/>
  <c r="C13" i="5"/>
  <c r="C14" i="5"/>
  <c r="C7" i="5"/>
  <c r="G8" i="4"/>
  <c r="G9" i="4"/>
  <c r="G10" i="4"/>
  <c r="G11" i="4"/>
  <c r="G12" i="4"/>
  <c r="G13" i="4"/>
  <c r="G14" i="4"/>
  <c r="G7" i="4"/>
  <c r="E10" i="4"/>
  <c r="E9" i="4"/>
  <c r="I59" i="11"/>
  <c r="I58" i="11"/>
  <c r="G50" i="11"/>
  <c r="C818" i="5" s="1"/>
  <c r="G47" i="11"/>
  <c r="C772" i="5" s="1"/>
  <c r="G44" i="11"/>
  <c r="C691" i="5" s="1"/>
  <c r="G43" i="11"/>
  <c r="C664" i="5" s="1"/>
  <c r="G40" i="11"/>
  <c r="C637" i="5" s="1"/>
  <c r="G39" i="11"/>
  <c r="C610" i="5" s="1"/>
  <c r="G37" i="11"/>
  <c r="C583" i="5" s="1"/>
  <c r="E8" i="4"/>
  <c r="G35" i="11"/>
  <c r="C539" i="5" s="1"/>
  <c r="G33" i="11"/>
  <c r="C517" i="5" s="1"/>
  <c r="G32" i="11"/>
  <c r="C496" i="5" s="1"/>
  <c r="G31" i="11"/>
  <c r="C475" i="5" s="1"/>
  <c r="G30" i="11"/>
  <c r="C453" i="5" s="1"/>
  <c r="G27" i="11"/>
  <c r="C385" i="5" s="1"/>
  <c r="G26" i="11"/>
  <c r="C363" i="5" s="1"/>
  <c r="G25" i="11"/>
  <c r="C342" i="5" s="1"/>
  <c r="A49" i="5"/>
  <c r="A50" i="5" s="1"/>
  <c r="A51" i="5" s="1"/>
  <c r="A52" i="5" s="1"/>
  <c r="A53" i="5" s="1"/>
  <c r="A54" i="5" s="1"/>
  <c r="A55" i="5" s="1"/>
  <c r="A56" i="5" s="1"/>
  <c r="A57" i="5" s="1"/>
  <c r="A58" i="5" s="1"/>
  <c r="A59" i="5" s="1"/>
  <c r="A60" i="5" s="1"/>
  <c r="A61" i="5" s="1"/>
  <c r="A62" i="5" s="1"/>
  <c r="A63" i="5" s="1"/>
  <c r="A64" i="5" s="1"/>
  <c r="A65" i="5" s="1"/>
  <c r="A66" i="5" s="1"/>
  <c r="A67" i="5" s="1"/>
  <c r="A68" i="5" s="1"/>
  <c r="L8" i="11"/>
  <c r="L9" i="11"/>
  <c r="L12" i="11"/>
  <c r="L13" i="11"/>
  <c r="L14" i="11"/>
  <c r="L15" i="11"/>
  <c r="L16" i="11"/>
  <c r="L17" i="11"/>
  <c r="L18" i="11"/>
  <c r="L19" i="11"/>
  <c r="L20" i="11"/>
  <c r="L21" i="11"/>
  <c r="L22" i="11"/>
  <c r="L23" i="11"/>
  <c r="L24" i="11"/>
  <c r="L25" i="11"/>
  <c r="L26" i="11"/>
  <c r="L27" i="11"/>
  <c r="L28" i="11"/>
  <c r="L29" i="11"/>
  <c r="L30" i="11"/>
  <c r="L31" i="11"/>
  <c r="L32" i="11"/>
  <c r="L33" i="11"/>
  <c r="L35" i="11"/>
  <c r="L36" i="11"/>
  <c r="L37" i="11"/>
  <c r="L39" i="11"/>
  <c r="L40" i="11"/>
  <c r="L43" i="11"/>
  <c r="L44" i="11"/>
  <c r="L45" i="11"/>
  <c r="L47" i="11"/>
  <c r="L46" i="11" s="1"/>
  <c r="L49" i="11"/>
  <c r="L50" i="11"/>
  <c r="L53" i="11"/>
  <c r="L57" i="11"/>
  <c r="L7" i="11"/>
  <c r="I55" i="11"/>
  <c r="E11" i="4" s="1"/>
  <c r="I56" i="11"/>
  <c r="E12" i="4" s="1"/>
  <c r="A11" i="4"/>
  <c r="A12" i="4"/>
  <c r="A28" i="5"/>
  <c r="A29" i="5" s="1"/>
  <c r="A30" i="5" s="1"/>
  <c r="A31" i="5" s="1"/>
  <c r="A32" i="5" s="1"/>
  <c r="A33" i="5" s="1"/>
  <c r="A34" i="5" s="1"/>
  <c r="A35" i="5" s="1"/>
  <c r="A36" i="5" s="1"/>
  <c r="A37" i="5" s="1"/>
  <c r="A38" i="5" s="1"/>
  <c r="A39" i="5" s="1"/>
  <c r="A40" i="5" s="1"/>
  <c r="A41" i="5" s="1"/>
  <c r="A42" i="5" s="1"/>
  <c r="A43" i="5" s="1"/>
  <c r="A44" i="5" s="1"/>
  <c r="A45" i="5" s="1"/>
  <c r="A46" i="5" s="1"/>
  <c r="A47" i="5" s="1"/>
  <c r="A48" i="5" s="1"/>
  <c r="A69" i="5"/>
  <c r="A70" i="5" s="1"/>
  <c r="A71" i="5" s="1"/>
  <c r="A72" i="5" s="1"/>
  <c r="A73" i="5" s="1"/>
  <c r="A74" i="5" s="1"/>
  <c r="A75" i="5" s="1"/>
  <c r="A76" i="5" s="1"/>
  <c r="A77" i="5" s="1"/>
  <c r="A78" i="5" s="1"/>
  <c r="A79" i="5" s="1"/>
  <c r="A80" i="5" s="1"/>
  <c r="A81" i="5" s="1"/>
  <c r="A82" i="5" s="1"/>
  <c r="A83" i="5" s="1"/>
  <c r="A84" i="5" s="1"/>
  <c r="A85" i="5" s="1"/>
  <c r="A86" i="5" s="1"/>
  <c r="A87" i="5" s="1"/>
  <c r="A88" i="5" s="1"/>
  <c r="A89" i="5" s="1"/>
  <c r="A93" i="5"/>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c r="A116" i="5" s="1"/>
  <c r="A117" i="5" s="1"/>
  <c r="A118" i="5" s="1"/>
  <c r="A119" i="5" s="1"/>
  <c r="A120" i="5" s="1"/>
  <c r="A121" i="5" s="1"/>
  <c r="A122" i="5" s="1"/>
  <c r="A123" i="5" s="1"/>
  <c r="A124" i="5" s="1"/>
  <c r="A125" i="5" s="1"/>
  <c r="A126" i="5" s="1"/>
  <c r="A127" i="5" s="1"/>
  <c r="A128" i="5" s="1"/>
  <c r="A129" i="5" s="1"/>
  <c r="A130" i="5" s="1"/>
  <c r="A131" i="5" s="1"/>
  <c r="A132" i="5" s="1"/>
  <c r="A139" i="5"/>
  <c r="A140" i="5" s="1"/>
  <c r="A141" i="5" s="1"/>
  <c r="A142" i="5" s="1"/>
  <c r="A143" i="5" s="1"/>
  <c r="A144" i="5" s="1"/>
  <c r="A145" i="5" s="1"/>
  <c r="A146" i="5" s="1"/>
  <c r="A147" i="5" s="1"/>
  <c r="A148" i="5" s="1"/>
  <c r="A149" i="5" s="1"/>
  <c r="A150" i="5" s="1"/>
  <c r="A151" i="5" s="1"/>
  <c r="A152" i="5" s="1"/>
  <c r="A153" i="5" s="1"/>
  <c r="A154" i="5" s="1"/>
  <c r="A155" i="5" s="1"/>
  <c r="A156" i="5" s="1"/>
  <c r="A157" i="5" s="1"/>
  <c r="A158" i="5" s="1"/>
  <c r="A163" i="5"/>
  <c r="A164" i="5" s="1"/>
  <c r="A165" i="5" s="1"/>
  <c r="A166" i="5" s="1"/>
  <c r="A167" i="5" s="1"/>
  <c r="A168" i="5" s="1"/>
  <c r="A169" i="5" s="1"/>
  <c r="A170" i="5" s="1"/>
  <c r="A171" i="5" s="1"/>
  <c r="A172" i="5" s="1"/>
  <c r="A173" i="5" s="1"/>
  <c r="A174" i="5" s="1"/>
  <c r="A175" i="5" s="1"/>
  <c r="A176" i="5" s="1"/>
  <c r="A177" i="5" s="1"/>
  <c r="A178" i="5" s="1"/>
  <c r="A179" i="5" s="1"/>
  <c r="A180" i="5" s="1"/>
  <c r="A187" i="5"/>
  <c r="A188" i="5" s="1"/>
  <c r="A189" i="5" s="1"/>
  <c r="A190" i="5" s="1"/>
  <c r="A191" i="5" s="1"/>
  <c r="A192" i="5" s="1"/>
  <c r="A193" i="5" s="1"/>
  <c r="A194" i="5" s="1"/>
  <c r="A195" i="5" s="1"/>
  <c r="A196" i="5" s="1"/>
  <c r="A197" i="5" s="1"/>
  <c r="A198" i="5" s="1"/>
  <c r="A199" i="5" s="1"/>
  <c r="A200" i="5" s="1"/>
  <c r="A201" i="5" s="1"/>
  <c r="A211" i="5"/>
  <c r="A212" i="5" s="1"/>
  <c r="A213" i="5" s="1"/>
  <c r="A214" i="5" s="1"/>
  <c r="A215" i="5" s="1"/>
  <c r="A216" i="5" s="1"/>
  <c r="A217" i="5" s="1"/>
  <c r="A218" i="5" s="1"/>
  <c r="A219" i="5" s="1"/>
  <c r="A220" i="5" s="1"/>
  <c r="A221" i="5" s="1"/>
  <c r="A222" i="5" s="1"/>
  <c r="A223" i="5" s="1"/>
  <c r="A224" i="5" s="1"/>
  <c r="A225" i="5" s="1"/>
  <c r="A226" i="5" s="1"/>
  <c r="A227" i="5" s="1"/>
  <c r="A228" i="5" s="1"/>
  <c r="A235" i="5"/>
  <c r="A236" i="5" s="1"/>
  <c r="A237" i="5" s="1"/>
  <c r="A238" i="5" s="1"/>
  <c r="A239" i="5" s="1"/>
  <c r="A240" i="5" s="1"/>
  <c r="A241" i="5" s="1"/>
  <c r="A242" i="5" s="1"/>
  <c r="A243" i="5" s="1"/>
  <c r="A244" i="5" s="1"/>
  <c r="A245" i="5" s="1"/>
  <c r="A246" i="5" s="1"/>
  <c r="A247" i="5" s="1"/>
  <c r="A248" i="5" s="1"/>
  <c r="A249" i="5" s="1"/>
  <c r="A250" i="5" s="1"/>
  <c r="A251" i="5" s="1"/>
  <c r="A259" i="5"/>
  <c r="A260" i="5" s="1"/>
  <c r="A261" i="5" s="1"/>
  <c r="A262" i="5" s="1"/>
  <c r="A263" i="5" s="1"/>
  <c r="A264" i="5" s="1"/>
  <c r="A265" i="5" s="1"/>
  <c r="A266" i="5" s="1"/>
  <c r="A267" i="5" s="1"/>
  <c r="A268" i="5" s="1"/>
  <c r="A269" i="5" s="1"/>
  <c r="A270" i="5" s="1"/>
  <c r="A271" i="5" s="1"/>
  <c r="A272" i="5" s="1"/>
  <c r="A273" i="5" s="1"/>
  <c r="A274" i="5" s="1"/>
  <c r="A275" i="5" s="1"/>
  <c r="A276" i="5" s="1"/>
  <c r="A277" i="5" s="1"/>
  <c r="A278" i="5" s="1"/>
  <c r="A279" i="5"/>
  <c r="A280" i="5" s="1"/>
  <c r="A281" i="5" s="1"/>
  <c r="A282" i="5" s="1"/>
  <c r="A283" i="5" s="1"/>
  <c r="A284" i="5" s="1"/>
  <c r="A285" i="5" s="1"/>
  <c r="A286" i="5" s="1"/>
  <c r="A287" i="5" s="1"/>
  <c r="A288" i="5" s="1"/>
  <c r="A289" i="5" s="1"/>
  <c r="A290" i="5" s="1"/>
  <c r="A291" i="5" s="1"/>
  <c r="A292" i="5" s="1"/>
  <c r="A293" i="5" s="1"/>
  <c r="A294" i="5" s="1"/>
  <c r="A295" i="5" s="1"/>
  <c r="A296" i="5" s="1"/>
  <c r="A297" i="5" s="1"/>
  <c r="A298" i="5" s="1"/>
  <c r="A299" i="5" s="1"/>
  <c r="A300" i="5"/>
  <c r="A301" i="5" s="1"/>
  <c r="A302" i="5" s="1"/>
  <c r="A303" i="5" s="1"/>
  <c r="A304" i="5" s="1"/>
  <c r="A305" i="5" s="1"/>
  <c r="A306" i="5" s="1"/>
  <c r="A307" i="5" s="1"/>
  <c r="A308" i="5" s="1"/>
  <c r="A309" i="5" s="1"/>
  <c r="A310" i="5" s="1"/>
  <c r="A311" i="5" s="1"/>
  <c r="A312" i="5" s="1"/>
  <c r="A313" i="5" s="1"/>
  <c r="A314" i="5" s="1"/>
  <c r="A315" i="5" s="1"/>
  <c r="A316" i="5" s="1"/>
  <c r="A317" i="5" s="1"/>
  <c r="A318" i="5" s="1"/>
  <c r="A319" i="5" s="1"/>
  <c r="A320" i="5" s="1"/>
  <c r="A321" i="5"/>
  <c r="A322" i="5" s="1"/>
  <c r="A323" i="5" s="1"/>
  <c r="A324" i="5" s="1"/>
  <c r="A325" i="5" s="1"/>
  <c r="A326" i="5" s="1"/>
  <c r="A327" i="5" s="1"/>
  <c r="A328" i="5" s="1"/>
  <c r="A329" i="5" s="1"/>
  <c r="A330" i="5" s="1"/>
  <c r="A331" i="5" s="1"/>
  <c r="A332" i="5" s="1"/>
  <c r="A333" i="5" s="1"/>
  <c r="A334" i="5" s="1"/>
  <c r="A335" i="5" s="1"/>
  <c r="A336" i="5" s="1"/>
  <c r="A337" i="5" s="1"/>
  <c r="A338" i="5" s="1"/>
  <c r="A339" i="5" s="1"/>
  <c r="A340" i="5" s="1"/>
  <c r="A341" i="5" s="1"/>
  <c r="A342" i="5"/>
  <c r="A343" i="5" s="1"/>
  <c r="A344" i="5" s="1"/>
  <c r="A345" i="5" s="1"/>
  <c r="A346" i="5" s="1"/>
  <c r="A347" i="5" s="1"/>
  <c r="A348" i="5" s="1"/>
  <c r="A349" i="5" s="1"/>
  <c r="A350" i="5" s="1"/>
  <c r="A351" i="5" s="1"/>
  <c r="A352" i="5" s="1"/>
  <c r="A353" i="5" s="1"/>
  <c r="A354" i="5" s="1"/>
  <c r="A355" i="5" s="1"/>
  <c r="A356" i="5" s="1"/>
  <c r="A357" i="5" s="1"/>
  <c r="A358" i="5" s="1"/>
  <c r="A359" i="5" s="1"/>
  <c r="A360" i="5" s="1"/>
  <c r="A361" i="5" s="1"/>
  <c r="A362" i="5" s="1"/>
  <c r="A363" i="5"/>
  <c r="A364" i="5" s="1"/>
  <c r="A365" i="5" s="1"/>
  <c r="A366" i="5" s="1"/>
  <c r="A367" i="5" s="1"/>
  <c r="A368" i="5" s="1"/>
  <c r="A369" i="5" s="1"/>
  <c r="A370" i="5" s="1"/>
  <c r="A371" i="5" s="1"/>
  <c r="A372" i="5" s="1"/>
  <c r="A373" i="5" s="1"/>
  <c r="A374" i="5" s="1"/>
  <c r="A375" i="5" s="1"/>
  <c r="A376" i="5" s="1"/>
  <c r="A377" i="5" s="1"/>
  <c r="A378" i="5" s="1"/>
  <c r="A379" i="5" s="1"/>
  <c r="A380" i="5" s="1"/>
  <c r="A381" i="5" s="1"/>
  <c r="A382" i="5" s="1"/>
  <c r="A383" i="5" s="1"/>
  <c r="A384" i="5" s="1"/>
  <c r="A385" i="5"/>
  <c r="A386" i="5" s="1"/>
  <c r="A387" i="5" s="1"/>
  <c r="A388" i="5" s="1"/>
  <c r="A389" i="5" s="1"/>
  <c r="A390" i="5" s="1"/>
  <c r="A391" i="5" s="1"/>
  <c r="A392" i="5" s="1"/>
  <c r="A393" i="5" s="1"/>
  <c r="A394" i="5" s="1"/>
  <c r="A395" i="5" s="1"/>
  <c r="A396" i="5" s="1"/>
  <c r="A397" i="5" s="1"/>
  <c r="A398" i="5" s="1"/>
  <c r="A399" i="5" s="1"/>
  <c r="A400" i="5" s="1"/>
  <c r="A401" i="5" s="1"/>
  <c r="A402" i="5" s="1"/>
  <c r="A408" i="5"/>
  <c r="A409" i="5" s="1"/>
  <c r="A410" i="5" s="1"/>
  <c r="A411" i="5" s="1"/>
  <c r="A412" i="5" s="1"/>
  <c r="A413" i="5" s="1"/>
  <c r="A414" i="5" s="1"/>
  <c r="A415" i="5" s="1"/>
  <c r="A416" i="5" s="1"/>
  <c r="A417" i="5" s="1"/>
  <c r="A418" i="5" s="1"/>
  <c r="A419" i="5" s="1"/>
  <c r="A420" i="5" s="1"/>
  <c r="A421" i="5" s="1"/>
  <c r="A422" i="5" s="1"/>
  <c r="A423" i="5" s="1"/>
  <c r="A424" i="5" s="1"/>
  <c r="A425" i="5" s="1"/>
  <c r="A426" i="5" s="1"/>
  <c r="A427" i="5" s="1"/>
  <c r="A428" i="5" s="1"/>
  <c r="A431" i="5"/>
  <c r="A432" i="5" s="1"/>
  <c r="A433" i="5" s="1"/>
  <c r="A434" i="5" s="1"/>
  <c r="A435" i="5" s="1"/>
  <c r="A436" i="5" s="1"/>
  <c r="A437" i="5" s="1"/>
  <c r="A438" i="5" s="1"/>
  <c r="A439" i="5" s="1"/>
  <c r="A440" i="5" s="1"/>
  <c r="A441" i="5" s="1"/>
  <c r="A442" i="5" s="1"/>
  <c r="A443" i="5" s="1"/>
  <c r="A444" i="5" s="1"/>
  <c r="A445" i="5" s="1"/>
  <c r="A446" i="5" s="1"/>
  <c r="A447" i="5" s="1"/>
  <c r="A448" i="5" s="1"/>
  <c r="A449" i="5" s="1"/>
  <c r="A450" i="5" s="1"/>
  <c r="A451" i="5" s="1"/>
  <c r="A452" i="5" s="1"/>
  <c r="A453" i="5"/>
  <c r="A454" i="5" s="1"/>
  <c r="A455" i="5" s="1"/>
  <c r="A456" i="5" s="1"/>
  <c r="A457" i="5" s="1"/>
  <c r="A458" i="5" s="1"/>
  <c r="A459" i="5" s="1"/>
  <c r="A460" i="5" s="1"/>
  <c r="A461" i="5" s="1"/>
  <c r="A462" i="5" s="1"/>
  <c r="A463" i="5" s="1"/>
  <c r="A464" i="5" s="1"/>
  <c r="A465" i="5" s="1"/>
  <c r="A466" i="5" s="1"/>
  <c r="A467" i="5" s="1"/>
  <c r="A468" i="5" s="1"/>
  <c r="A469" i="5" s="1"/>
  <c r="A470" i="5" s="1"/>
  <c r="A471" i="5" s="1"/>
  <c r="A472" i="5" s="1"/>
  <c r="A473" i="5" s="1"/>
  <c r="A474" i="5" s="1"/>
  <c r="A477" i="5"/>
  <c r="A478" i="5" s="1"/>
  <c r="A479" i="5" s="1"/>
  <c r="A480" i="5" s="1"/>
  <c r="A481" i="5" s="1"/>
  <c r="A482" i="5" s="1"/>
  <c r="A483" i="5" s="1"/>
  <c r="A484" i="5" s="1"/>
  <c r="A485" i="5" s="1"/>
  <c r="A486" i="5" s="1"/>
  <c r="A487" i="5" s="1"/>
  <c r="A488" i="5" s="1"/>
  <c r="A489" i="5" s="1"/>
  <c r="A490" i="5" s="1"/>
  <c r="A491" i="5" s="1"/>
  <c r="A492" i="5" s="1"/>
  <c r="A493" i="5" s="1"/>
  <c r="A494" i="5" s="1"/>
  <c r="A495" i="5" s="1"/>
  <c r="A496" i="5"/>
  <c r="A497" i="5" s="1"/>
  <c r="A498" i="5" s="1"/>
  <c r="A499" i="5" s="1"/>
  <c r="A500" i="5" s="1"/>
  <c r="A501" i="5" s="1"/>
  <c r="A502" i="5" s="1"/>
  <c r="A503" i="5" s="1"/>
  <c r="A504" i="5" s="1"/>
  <c r="A505" i="5" s="1"/>
  <c r="A506" i="5" s="1"/>
  <c r="A507" i="5" s="1"/>
  <c r="A508" i="5" s="1"/>
  <c r="A509" i="5" s="1"/>
  <c r="A510" i="5" s="1"/>
  <c r="A511" i="5" s="1"/>
  <c r="A512" i="5" s="1"/>
  <c r="A513" i="5" s="1"/>
  <c r="A514" i="5" s="1"/>
  <c r="A515" i="5" s="1"/>
  <c r="A516" i="5" s="1"/>
  <c r="A517" i="5"/>
  <c r="A518" i="5" s="1"/>
  <c r="A519" i="5" s="1"/>
  <c r="A520" i="5" s="1"/>
  <c r="A521" i="5" s="1"/>
  <c r="A522" i="5" s="1"/>
  <c r="A523" i="5" s="1"/>
  <c r="A524" i="5" s="1"/>
  <c r="A525" i="5" s="1"/>
  <c r="A526" i="5" s="1"/>
  <c r="A527" i="5" s="1"/>
  <c r="A528" i="5" s="1"/>
  <c r="A529" i="5" s="1"/>
  <c r="A530" i="5" s="1"/>
  <c r="A531" i="5" s="1"/>
  <c r="A532" i="5" s="1"/>
  <c r="A533" i="5" s="1"/>
  <c r="A534" i="5" s="1"/>
  <c r="A535" i="5" s="1"/>
  <c r="A536" i="5" s="1"/>
  <c r="A537" i="5" s="1"/>
  <c r="A538" i="5" s="1"/>
  <c r="A541" i="5"/>
  <c r="A542" i="5" s="1"/>
  <c r="A543" i="5" s="1"/>
  <c r="A544" i="5" s="1"/>
  <c r="A545" i="5" s="1"/>
  <c r="A546" i="5" s="1"/>
  <c r="A547" i="5" s="1"/>
  <c r="A548" i="5" s="1"/>
  <c r="A549" i="5" s="1"/>
  <c r="A550" i="5" s="1"/>
  <c r="A551" i="5" s="1"/>
  <c r="A552" i="5" s="1"/>
  <c r="A553" i="5" s="1"/>
  <c r="A554" i="5" s="1"/>
  <c r="A555" i="5" s="1"/>
  <c r="A556" i="5" s="1"/>
  <c r="A557" i="5" s="1"/>
  <c r="A558" i="5" s="1"/>
  <c r="A559" i="5" s="1"/>
  <c r="A560" i="5" s="1"/>
  <c r="A564" i="5"/>
  <c r="A565" i="5" s="1"/>
  <c r="A566" i="5" s="1"/>
  <c r="A567" i="5" s="1"/>
  <c r="A568" i="5" s="1"/>
  <c r="A569" i="5" s="1"/>
  <c r="A570" i="5" s="1"/>
  <c r="A571" i="5" s="1"/>
  <c r="A572" i="5" s="1"/>
  <c r="A573" i="5" s="1"/>
  <c r="A574" i="5" s="1"/>
  <c r="A575" i="5" s="1"/>
  <c r="A576" i="5" s="1"/>
  <c r="A577" i="5" s="1"/>
  <c r="A578" i="5" s="1"/>
  <c r="A579" i="5" s="1"/>
  <c r="A580" i="5" s="1"/>
  <c r="A581" i="5" s="1"/>
  <c r="A582" i="5" s="1"/>
  <c r="A583" i="5"/>
  <c r="A584" i="5" s="1"/>
  <c r="A585" i="5" s="1"/>
  <c r="A586" i="5" s="1"/>
  <c r="A587" i="5" s="1"/>
  <c r="A588" i="5" s="1"/>
  <c r="A589" i="5" s="1"/>
  <c r="A590" i="5" s="1"/>
  <c r="A591" i="5" s="1"/>
  <c r="A592" i="5" s="1"/>
  <c r="A593" i="5" s="1"/>
  <c r="A594" i="5" s="1"/>
  <c r="A595" i="5" s="1"/>
  <c r="A596" i="5" s="1"/>
  <c r="A597" i="5" s="1"/>
  <c r="A598" i="5" s="1"/>
  <c r="A599" i="5" s="1"/>
  <c r="A600" i="5" s="1"/>
  <c r="A601" i="5" s="1"/>
  <c r="A602" i="5" s="1"/>
  <c r="A603" i="5" s="1"/>
  <c r="A604" i="5" s="1"/>
  <c r="A605" i="5" s="1"/>
  <c r="A606" i="5" s="1"/>
  <c r="A607" i="5" s="1"/>
  <c r="A608" i="5" s="1"/>
  <c r="A609" i="5" s="1"/>
  <c r="A611" i="5"/>
  <c r="A612" i="5" s="1"/>
  <c r="A613" i="5" s="1"/>
  <c r="A614" i="5" s="1"/>
  <c r="A615" i="5" s="1"/>
  <c r="A616" i="5" s="1"/>
  <c r="A617" i="5" s="1"/>
  <c r="A618" i="5" s="1"/>
  <c r="A619" i="5" s="1"/>
  <c r="A620" i="5" s="1"/>
  <c r="A621" i="5" s="1"/>
  <c r="A622" i="5" s="1"/>
  <c r="A623" i="5" s="1"/>
  <c r="A624" i="5" s="1"/>
  <c r="A625" i="5" s="1"/>
  <c r="A626" i="5" s="1"/>
  <c r="A627" i="5" s="1"/>
  <c r="A628" i="5" s="1"/>
  <c r="A629" i="5" s="1"/>
  <c r="A630" i="5" s="1"/>
  <c r="A631" i="5" s="1"/>
  <c r="A632" i="5" s="1"/>
  <c r="A633" i="5" s="1"/>
  <c r="A634" i="5" s="1"/>
  <c r="A635" i="5" s="1"/>
  <c r="A636" i="5" s="1"/>
  <c r="A638" i="5"/>
  <c r="A639" i="5" s="1"/>
  <c r="A640" i="5" s="1"/>
  <c r="A641" i="5" s="1"/>
  <c r="A642" i="5" s="1"/>
  <c r="A643" i="5" s="1"/>
  <c r="A644" i="5" s="1"/>
  <c r="A645" i="5" s="1"/>
  <c r="A646" i="5" s="1"/>
  <c r="A647" i="5" s="1"/>
  <c r="A648" i="5" s="1"/>
  <c r="A649" i="5" s="1"/>
  <c r="A650" i="5" s="1"/>
  <c r="A651" i="5" s="1"/>
  <c r="A652" i="5" s="1"/>
  <c r="A653" i="5" s="1"/>
  <c r="A654" i="5" s="1"/>
  <c r="A655" i="5" s="1"/>
  <c r="A656" i="5" s="1"/>
  <c r="A657" i="5" s="1"/>
  <c r="A658" i="5" s="1"/>
  <c r="A659" i="5" s="1"/>
  <c r="A660" i="5" s="1"/>
  <c r="A661" i="5" s="1"/>
  <c r="A662" i="5" s="1"/>
  <c r="A663" i="5" s="1"/>
  <c r="A666" i="5"/>
  <c r="A667" i="5" s="1"/>
  <c r="A668" i="5" s="1"/>
  <c r="A669" i="5" s="1"/>
  <c r="A670" i="5" s="1"/>
  <c r="A671" i="5" s="1"/>
  <c r="A672" i="5" s="1"/>
  <c r="A673" i="5" s="1"/>
  <c r="A674" i="5" s="1"/>
  <c r="A675" i="5" s="1"/>
  <c r="A676" i="5" s="1"/>
  <c r="A677" i="5" s="1"/>
  <c r="A678" i="5" s="1"/>
  <c r="A679" i="5" s="1"/>
  <c r="A680" i="5" s="1"/>
  <c r="A681" i="5" s="1"/>
  <c r="A682" i="5" s="1"/>
  <c r="A683" i="5" s="1"/>
  <c r="A684" i="5" s="1"/>
  <c r="A685" i="5" s="1"/>
  <c r="A686" i="5" s="1"/>
  <c r="A687" i="5" s="1"/>
  <c r="A688" i="5" s="1"/>
  <c r="A689" i="5" s="1"/>
  <c r="A690" i="5" s="1"/>
  <c r="A691" i="5"/>
  <c r="A692" i="5" s="1"/>
  <c r="A693" i="5" s="1"/>
  <c r="A694" i="5" s="1"/>
  <c r="A695" i="5" s="1"/>
  <c r="A696" i="5" s="1"/>
  <c r="A697" i="5" s="1"/>
  <c r="A698" i="5" s="1"/>
  <c r="A699" i="5" s="1"/>
  <c r="A700" i="5" s="1"/>
  <c r="A701" i="5" s="1"/>
  <c r="A702" i="5" s="1"/>
  <c r="A703" i="5" s="1"/>
  <c r="A704" i="5" s="1"/>
  <c r="A705" i="5" s="1"/>
  <c r="A706" i="5" s="1"/>
  <c r="A707" i="5" s="1"/>
  <c r="A708" i="5" s="1"/>
  <c r="A709" i="5" s="1"/>
  <c r="A710" i="5" s="1"/>
  <c r="A711" i="5" s="1"/>
  <c r="A712" i="5" s="1"/>
  <c r="A713" i="5" s="1"/>
  <c r="A714" i="5" s="1"/>
  <c r="A715" i="5" s="1"/>
  <c r="A716" i="5" s="1"/>
  <c r="A717" i="5" s="1"/>
  <c r="A720" i="5"/>
  <c r="A721" i="5" s="1"/>
  <c r="A722" i="5" s="1"/>
  <c r="A723" i="5" s="1"/>
  <c r="A724" i="5" s="1"/>
  <c r="A725" i="5" s="1"/>
  <c r="A726" i="5" s="1"/>
  <c r="A727" i="5" s="1"/>
  <c r="A728" i="5" s="1"/>
  <c r="A729" i="5" s="1"/>
  <c r="A730" i="5" s="1"/>
  <c r="A731" i="5" s="1"/>
  <c r="A732" i="5" s="1"/>
  <c r="A733" i="5" s="1"/>
  <c r="A734" i="5" s="1"/>
  <c r="A735" i="5" s="1"/>
  <c r="A736" i="5" s="1"/>
  <c r="A737" i="5" s="1"/>
  <c r="A738" i="5" s="1"/>
  <c r="A739" i="5" s="1"/>
  <c r="A740" i="5" s="1"/>
  <c r="A741" i="5" s="1"/>
  <c r="A742" i="5" s="1"/>
  <c r="A743" i="5" s="1"/>
  <c r="A744" i="5" s="1"/>
  <c r="A775" i="5"/>
  <c r="A776" i="5" s="1"/>
  <c r="A777" i="5" s="1"/>
  <c r="A778" i="5" s="1"/>
  <c r="A779" i="5" s="1"/>
  <c r="A780" i="5" s="1"/>
  <c r="A781" i="5" s="1"/>
  <c r="A782" i="5" s="1"/>
  <c r="A783" i="5" s="1"/>
  <c r="A784" i="5" s="1"/>
  <c r="A785" i="5" s="1"/>
  <c r="A786" i="5" s="1"/>
  <c r="A787" i="5" s="1"/>
  <c r="A788" i="5" s="1"/>
  <c r="A789" i="5" s="1"/>
  <c r="A790" i="5" s="1"/>
  <c r="A791" i="5" s="1"/>
  <c r="A792" i="5" s="1"/>
  <c r="A793" i="5" s="1"/>
  <c r="A794" i="5" s="1"/>
  <c r="A795" i="5" s="1"/>
  <c r="A798" i="5"/>
  <c r="A799" i="5" s="1"/>
  <c r="A800" i="5" s="1"/>
  <c r="A801" i="5" s="1"/>
  <c r="A802" i="5" s="1"/>
  <c r="A803" i="5" s="1"/>
  <c r="A804" i="5" s="1"/>
  <c r="A805" i="5" s="1"/>
  <c r="A806" i="5" s="1"/>
  <c r="A807" i="5" s="1"/>
  <c r="A808" i="5" s="1"/>
  <c r="A809" i="5" s="1"/>
  <c r="A810" i="5" s="1"/>
  <c r="A811" i="5" s="1"/>
  <c r="A812" i="5" s="1"/>
  <c r="A813" i="5" s="1"/>
  <c r="A814" i="5" s="1"/>
  <c r="A815" i="5" s="1"/>
  <c r="A816" i="5" s="1"/>
  <c r="A817" i="5" s="1"/>
  <c r="A821" i="5"/>
  <c r="A822" i="5" s="1"/>
  <c r="A823" i="5" s="1"/>
  <c r="A824" i="5" s="1"/>
  <c r="A825" i="5" s="1"/>
  <c r="A826" i="5" s="1"/>
  <c r="A827" i="5" s="1"/>
  <c r="A828" i="5" s="1"/>
  <c r="A829" i="5" s="1"/>
  <c r="A830" i="5" s="1"/>
  <c r="A831" i="5" s="1"/>
  <c r="A832" i="5" s="1"/>
  <c r="A833" i="5" s="1"/>
  <c r="A834" i="5" s="1"/>
  <c r="A835" i="5" s="1"/>
  <c r="A836" i="5" s="1"/>
  <c r="A837" i="5" s="1"/>
  <c r="A838" i="5" s="1"/>
  <c r="A839" i="5" s="1"/>
  <c r="A840" i="5" s="1"/>
  <c r="A844" i="5"/>
  <c r="A845" i="5" s="1"/>
  <c r="A846" i="5" s="1"/>
  <c r="A847" i="5" s="1"/>
  <c r="A848" i="5" s="1"/>
  <c r="A849" i="5" s="1"/>
  <c r="A850" i="5" s="1"/>
  <c r="A851" i="5" s="1"/>
  <c r="A852" i="5" s="1"/>
  <c r="A853" i="5" s="1"/>
  <c r="A854" i="5" s="1"/>
  <c r="A855" i="5" s="1"/>
  <c r="A856" i="5" s="1"/>
  <c r="A857" i="5" s="1"/>
  <c r="A858" i="5" s="1"/>
  <c r="A859" i="5" s="1"/>
  <c r="A860" i="5" s="1"/>
  <c r="A861" i="5" s="1"/>
  <c r="A865" i="5"/>
  <c r="A866" i="5" s="1"/>
  <c r="A867" i="5" s="1"/>
  <c r="A868" i="5" s="1"/>
  <c r="A869" i="5" s="1"/>
  <c r="A870" i="5" s="1"/>
  <c r="A871" i="5" s="1"/>
  <c r="A872" i="5" s="1"/>
  <c r="A873" i="5" s="1"/>
  <c r="A874" i="5" s="1"/>
  <c r="A875" i="5" s="1"/>
  <c r="A876" i="5" s="1"/>
  <c r="A877" i="5" s="1"/>
  <c r="A878" i="5" s="1"/>
  <c r="A879" i="5" s="1"/>
  <c r="A880" i="5" s="1"/>
  <c r="A881" i="5" s="1"/>
  <c r="A882" i="5" s="1"/>
  <c r="A883" i="5" s="1"/>
  <c r="A884" i="5" s="1"/>
  <c r="A885" i="5" s="1"/>
  <c r="A886" i="5" s="1"/>
  <c r="A887" i="5" s="1"/>
  <c r="A7" i="5"/>
  <c r="A8" i="5" s="1"/>
  <c r="A9" i="5" s="1"/>
  <c r="A10" i="5" s="1"/>
  <c r="A11" i="5" s="1"/>
  <c r="A12" i="5" s="1"/>
  <c r="A13" i="5" s="1"/>
  <c r="A14" i="5" s="1"/>
  <c r="A15" i="5" s="1"/>
  <c r="A16" i="5" s="1"/>
  <c r="A17" i="5" s="1"/>
  <c r="A18" i="5" s="1"/>
  <c r="A19" i="5" s="1"/>
  <c r="A20" i="5" s="1"/>
  <c r="A21" i="5" s="1"/>
  <c r="A22" i="5" s="1"/>
  <c r="A23" i="5" s="1"/>
  <c r="A24" i="5" s="1"/>
  <c r="A25" i="5" s="1"/>
  <c r="A26" i="5" s="1"/>
  <c r="A27" i="5" s="1"/>
  <c r="A7" i="4"/>
  <c r="A9" i="4"/>
  <c r="A10" i="4"/>
  <c r="A13" i="4"/>
  <c r="A14" i="4"/>
  <c r="A8" i="4"/>
  <c r="L41" i="11" l="1"/>
  <c r="L42" i="11"/>
  <c r="A429" i="5"/>
  <c r="A430" i="5" s="1"/>
  <c r="A403" i="5"/>
  <c r="A404" i="5" s="1"/>
  <c r="A405" i="5" s="1"/>
  <c r="A406" i="5" s="1"/>
  <c r="A407" i="5" s="1"/>
  <c r="A252" i="5"/>
  <c r="A253" i="5" s="1"/>
  <c r="A254" i="5" s="1"/>
  <c r="A255" i="5" s="1"/>
  <c r="A256" i="5" s="1"/>
  <c r="A257" i="5" s="1"/>
  <c r="A258" i="5" s="1"/>
  <c r="A229" i="5"/>
  <c r="A230" i="5" s="1"/>
  <c r="A231" i="5" s="1"/>
  <c r="A232" i="5" s="1"/>
  <c r="A233" i="5" s="1"/>
  <c r="A234" i="5" s="1"/>
  <c r="A202" i="5"/>
  <c r="A203" i="5" s="1"/>
  <c r="A204" i="5" s="1"/>
  <c r="A205" i="5" s="1"/>
  <c r="A206" i="5" s="1"/>
  <c r="A207" i="5" s="1"/>
  <c r="A208" i="5" s="1"/>
  <c r="A209" i="5" s="1"/>
  <c r="A210" i="5" s="1"/>
  <c r="A181" i="5"/>
  <c r="A182" i="5" s="1"/>
  <c r="A183" i="5" s="1"/>
  <c r="A184" i="5" s="1"/>
  <c r="A185" i="5" s="1"/>
  <c r="A186" i="5" s="1"/>
  <c r="A159" i="5"/>
  <c r="A160" i="5" s="1"/>
  <c r="A161" i="5" s="1"/>
  <c r="A162" i="5" s="1"/>
  <c r="A133" i="5"/>
  <c r="A134" i="5" s="1"/>
  <c r="A135" i="5" s="1"/>
  <c r="A136" i="5" s="1"/>
  <c r="A137" i="5" s="1"/>
  <c r="A138" i="5" s="1"/>
  <c r="A90" i="5"/>
  <c r="A91" i="5" s="1"/>
  <c r="A92" i="5" s="1"/>
  <c r="E60" i="11"/>
  <c r="E59" i="11"/>
  <c r="E58" i="11"/>
  <c r="E57" i="11"/>
  <c r="E56" i="11"/>
  <c r="E55" i="11"/>
  <c r="E53" i="11"/>
  <c r="E51" i="11"/>
  <c r="E50" i="11"/>
  <c r="E49" i="11"/>
  <c r="E48" i="11"/>
  <c r="E47" i="11"/>
  <c r="E45" i="11"/>
  <c r="E44" i="11"/>
  <c r="E43" i="11"/>
  <c r="E40" i="11"/>
  <c r="E39" i="11"/>
  <c r="E37" i="11"/>
  <c r="E36" i="11"/>
  <c r="E35" i="11"/>
  <c r="E34" i="11"/>
  <c r="E33" i="11"/>
  <c r="E32" i="11"/>
  <c r="E31" i="11"/>
  <c r="E30" i="11"/>
  <c r="E29" i="11"/>
  <c r="E28" i="11"/>
  <c r="E27" i="11"/>
  <c r="E26" i="11"/>
  <c r="E25" i="11"/>
  <c r="E24" i="11"/>
  <c r="E23" i="11"/>
  <c r="E22" i="11"/>
  <c r="E21" i="11"/>
  <c r="E20" i="11"/>
  <c r="E19" i="11"/>
  <c r="E18" i="11"/>
  <c r="E17" i="11"/>
  <c r="E16" i="11"/>
  <c r="E15" i="11"/>
  <c r="E14" i="11"/>
  <c r="E13" i="11"/>
  <c r="E12" i="11"/>
  <c r="E9" i="11"/>
  <c r="E8" i="11"/>
  <c r="E7" i="11"/>
  <c r="E7"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Cahill</author>
  </authors>
  <commentList>
    <comment ref="H6" authorId="0" shapeId="0" xr:uid="{95CB5233-193A-4668-95FE-09E74456C102}">
      <text>
        <r>
          <rPr>
            <b/>
            <sz val="9"/>
            <color indexed="81"/>
            <rFont val="Tahoma"/>
            <family val="2"/>
          </rPr>
          <t>Ryan Cahill:</t>
        </r>
        <r>
          <rPr>
            <sz val="9"/>
            <color indexed="81"/>
            <rFont val="Tahoma"/>
            <family val="2"/>
          </rPr>
          <t xml:space="preserve">
Calculated in GIS from "Reaches.shp"</t>
        </r>
      </text>
    </comment>
    <comment ref="I6" authorId="0" shapeId="0" xr:uid="{31BE7E52-8ECE-4136-ABB4-ED861F6A6942}">
      <text>
        <r>
          <rPr>
            <b/>
            <sz val="9"/>
            <color indexed="81"/>
            <rFont val="Tahoma"/>
            <family val="2"/>
          </rPr>
          <t>Ryan Cahill:</t>
        </r>
        <r>
          <rPr>
            <sz val="9"/>
            <color indexed="81"/>
            <rFont val="Tahoma"/>
            <family val="2"/>
          </rPr>
          <t xml:space="preserve">
Values used from 2019 CWMS HMS model where they existed. Missing locations calculated using GIS. Does not match the values used in 2019 CWMS HMS report that was used for Muskingum-Cunge at that time, but close in most cases.</t>
        </r>
      </text>
    </comment>
    <comment ref="K6" authorId="0" shapeId="0" xr:uid="{DCCBFDEA-9A73-41FF-ACB4-1397943BBADA}">
      <text>
        <r>
          <rPr>
            <b/>
            <sz val="9"/>
            <color indexed="81"/>
            <rFont val="Tahoma"/>
            <family val="2"/>
          </rPr>
          <t>Ryan Cahill:</t>
        </r>
        <r>
          <rPr>
            <sz val="9"/>
            <color indexed="81"/>
            <rFont val="Tahoma"/>
            <family val="2"/>
          </rPr>
          <t xml:space="preserve">
When plotting up the reaches together, only want to show reaches from similar areas, and probably not more than 10 reaches per plot. Define group numbers to be plotted. Every reach with "1" will be plotted together, and so on</t>
        </r>
      </text>
    </comment>
    <comment ref="L6" authorId="0" shapeId="0" xr:uid="{CB1D3749-D388-4120-8E6F-C67AEB0714B1}">
      <text>
        <r>
          <rPr>
            <b/>
            <sz val="9"/>
            <color indexed="81"/>
            <rFont val="Tahoma"/>
            <family val="2"/>
          </rPr>
          <t>Ryan Cahill:</t>
        </r>
        <r>
          <rPr>
            <sz val="9"/>
            <color indexed="81"/>
            <rFont val="Tahoma"/>
            <family val="2"/>
          </rPr>
          <t xml:space="preserve">
Maximum historic flow recorded at the upstream gage. Sourced from USGS instantaneous peak records. Only meant for contextual information.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Ryan Cahill</author>
  </authors>
  <commentList>
    <comment ref="D6" authorId="0" shapeId="0" xr:uid="{B3CE9E4C-61C9-4171-82B5-875C6E121C83}">
      <text>
        <r>
          <rPr>
            <b/>
            <sz val="9"/>
            <color indexed="81"/>
            <rFont val="Tahoma"/>
            <family val="2"/>
          </rPr>
          <t>Ryan Cahill:</t>
        </r>
        <r>
          <rPr>
            <sz val="9"/>
            <color indexed="81"/>
            <rFont val="Tahoma"/>
            <family val="2"/>
          </rPr>
          <t xml:space="preserve">
From 30m DEM using GIS, just an approximation to get a sense of the channel slope.
No QC applied, I noticed that Cougar_Out elevation is more of the forebay than the tailwater.</t>
        </r>
      </text>
    </comment>
    <comment ref="L6" authorId="0" shapeId="0" xr:uid="{388D25DE-C201-47CC-8BA4-4E03AA714B44}">
      <text>
        <r>
          <rPr>
            <b/>
            <sz val="9"/>
            <color indexed="81"/>
            <rFont val="Tahoma"/>
            <family val="2"/>
          </rPr>
          <t>Ryan Cahill:</t>
        </r>
        <r>
          <rPr>
            <sz val="9"/>
            <color indexed="81"/>
            <rFont val="Tahoma"/>
            <family val="2"/>
          </rPr>
          <t xml:space="preserve">
Maximum historic flow recorded at this gage. Sourced from USGS instantaneous peak records. Only meant for contextual information.</t>
        </r>
      </text>
    </comment>
  </commentList>
</comments>
</file>

<file path=xl/sharedStrings.xml><?xml version="1.0" encoding="utf-8"?>
<sst xmlns="http://schemas.openxmlformats.org/spreadsheetml/2006/main" count="681" uniqueCount="279">
  <si>
    <t>ReachName_HMS</t>
  </si>
  <si>
    <t>Method</t>
  </si>
  <si>
    <t>LongTomRv_R20</t>
  </si>
  <si>
    <t>MFWillametteRV_R60</t>
  </si>
  <si>
    <t>WillametteRV_R160</t>
  </si>
  <si>
    <t>CFWillametteRv_R10</t>
  </si>
  <si>
    <t>McKenzieRv_R20</t>
  </si>
  <si>
    <t>CFWillametteRv_R30</t>
  </si>
  <si>
    <t>MarysRv_R10</t>
  </si>
  <si>
    <t>McKenzieRv_R10</t>
  </si>
  <si>
    <t>LuckiamuteRv_R10</t>
  </si>
  <si>
    <t>McKenzieRv_R30</t>
  </si>
  <si>
    <t>SantiamRv_R10</t>
  </si>
  <si>
    <t>McKenzieRv_R40</t>
  </si>
  <si>
    <t>Null</t>
  </si>
  <si>
    <t>NSantiamRv_R10</t>
  </si>
  <si>
    <t>McKenzieRv_R50</t>
  </si>
  <si>
    <t>SSantiamRv_R10</t>
  </si>
  <si>
    <t>LongTomRv_R10</t>
  </si>
  <si>
    <t>MFWillametteRV_R70</t>
  </si>
  <si>
    <t>TualatinRv_R20</t>
  </si>
  <si>
    <t>FallCk_R10</t>
  </si>
  <si>
    <t>CFWillametteRv_R20</t>
  </si>
  <si>
    <t>RowRv_R10</t>
  </si>
  <si>
    <t>TualatinRv_R10</t>
  </si>
  <si>
    <t>YamhillRv_R10</t>
  </si>
  <si>
    <t>WillametteRv_R70</t>
  </si>
  <si>
    <t>MolallaRv_R10</t>
  </si>
  <si>
    <t>PuddingRv_R10</t>
  </si>
  <si>
    <t>WillametteRv_R80</t>
  </si>
  <si>
    <t>WillametteRv_R90</t>
  </si>
  <si>
    <t>WillametteRv_R100</t>
  </si>
  <si>
    <t>SFMcKenzieRv_R10</t>
  </si>
  <si>
    <t>WillametteRv_R110</t>
  </si>
  <si>
    <t>MFWillametteRv_R10</t>
  </si>
  <si>
    <t>WillametteRv_R120</t>
  </si>
  <si>
    <t>MFWillametteRv_R20</t>
  </si>
  <si>
    <t>WillametteRv_R140</t>
  </si>
  <si>
    <t>MFWillametteRv_R30</t>
  </si>
  <si>
    <t>WillametteRv_R150</t>
  </si>
  <si>
    <t>LengthMiles</t>
  </si>
  <si>
    <t>OrderID</t>
  </si>
  <si>
    <t>Notes</t>
  </si>
  <si>
    <t>SSantiamRv_R15</t>
  </si>
  <si>
    <t>HillsCreek_Out</t>
  </si>
  <si>
    <t>NForkWillamette_CF</t>
  </si>
  <si>
    <t>OakRidge_Below_NFork</t>
  </si>
  <si>
    <t>LookoutPoint_In</t>
  </si>
  <si>
    <t>Dexter_Out</t>
  </si>
  <si>
    <t>FallCreek_Out</t>
  </si>
  <si>
    <t>FallCk_CF</t>
  </si>
  <si>
    <t>Jasper</t>
  </si>
  <si>
    <t>Dorena_Out</t>
  </si>
  <si>
    <t>CottageGrove_Out</t>
  </si>
  <si>
    <t>RowRv_CF</t>
  </si>
  <si>
    <t>Goshen</t>
  </si>
  <si>
    <t>CoastFork_CF</t>
  </si>
  <si>
    <t>Cougar_Out</t>
  </si>
  <si>
    <t>TrailBridge_Out</t>
  </si>
  <si>
    <t>SFMckenzie_CF</t>
  </si>
  <si>
    <t>BlueRiver_Out</t>
  </si>
  <si>
    <t>BlueRv_CF</t>
  </si>
  <si>
    <t>Vida</t>
  </si>
  <si>
    <t>Coburg</t>
  </si>
  <si>
    <t>McKenzie_CF</t>
  </si>
  <si>
    <t>Harrisburg</t>
  </si>
  <si>
    <t>FernRidge_Out</t>
  </si>
  <si>
    <t>Monroe</t>
  </si>
  <si>
    <t>LongTom_CF</t>
  </si>
  <si>
    <t>Philomath</t>
  </si>
  <si>
    <t>Corvallis</t>
  </si>
  <si>
    <t>Albany</t>
  </si>
  <si>
    <t>Detroit_Out</t>
  </si>
  <si>
    <t>GreensBridge</t>
  </si>
  <si>
    <t>GreenPeter_Out</t>
  </si>
  <si>
    <t>Foster_In</t>
  </si>
  <si>
    <t>Foster_Out</t>
  </si>
  <si>
    <t>Jefferson</t>
  </si>
  <si>
    <t>Santiam_CF</t>
  </si>
  <si>
    <t>Suver</t>
  </si>
  <si>
    <t>Salem</t>
  </si>
  <si>
    <t>McMinnville</t>
  </si>
  <si>
    <t>Newberg</t>
  </si>
  <si>
    <t>Aurora</t>
  </si>
  <si>
    <t>Canby</t>
  </si>
  <si>
    <t>Molalla_CF</t>
  </si>
  <si>
    <t>Dilley</t>
  </si>
  <si>
    <t>DairyCk_CF</t>
  </si>
  <si>
    <t>Willamette_OregonCity</t>
  </si>
  <si>
    <t>WillametteRV_R170</t>
  </si>
  <si>
    <t>BlueRv_R10</t>
  </si>
  <si>
    <t>Not defined as a reach in HMS, but needed for connectivity here</t>
  </si>
  <si>
    <t>NSantiamRv_R05</t>
  </si>
  <si>
    <t>MFWillametteRV_R55</t>
  </si>
  <si>
    <t>Split this reach from original 2019 CWMS model</t>
  </si>
  <si>
    <t>Walterville</t>
  </si>
  <si>
    <t>McKenzieRv_R25</t>
  </si>
  <si>
    <t>2019 CWMS model went from Vida to Coburg</t>
  </si>
  <si>
    <t>Waterloo</t>
  </si>
  <si>
    <t>2019 CWMS model went from Foster to Jefferson</t>
  </si>
  <si>
    <t>2019 CWMS model went from Detroit to Greens Bridge</t>
  </si>
  <si>
    <t>Mehama</t>
  </si>
  <si>
    <t>NSantiamRv_R15</t>
  </si>
  <si>
    <t>TualatinRv_R05</t>
  </si>
  <si>
    <t>***Might want to add HMS naming conventions to Trey's master location file</t>
  </si>
  <si>
    <t>SSantiamRv_R20</t>
  </si>
  <si>
    <t>Canal issues</t>
  </si>
  <si>
    <t>Is_Comparison_Point</t>
  </si>
  <si>
    <t>Is this a location where we want to compare the modeled routing vs observed flow?</t>
  </si>
  <si>
    <t>Yes</t>
  </si>
  <si>
    <t>No</t>
  </si>
  <si>
    <t>Is_Required</t>
  </si>
  <si>
    <t>Typically Yes for mainstem sites and dam outlets, and No for tribs like the Luckiamute that may or may not have gage readings for a given event</t>
  </si>
  <si>
    <t>Is observed flow required at this location to make a valid routing comparison at the next downstream point?</t>
  </si>
  <si>
    <t>JunctionName_HMS</t>
  </si>
  <si>
    <t>Upstream_Junction</t>
  </si>
  <si>
    <t>Downstream_Junction</t>
  </si>
  <si>
    <t>The top 5 lines of this sheet are reserved for descriptive comments. The headers should be in line 6 and data in row 7.</t>
  </si>
  <si>
    <t>Observed_Path_DSS</t>
  </si>
  <si>
    <t>RoutingID</t>
  </si>
  <si>
    <t>NumSubreaches</t>
  </si>
  <si>
    <t>K</t>
  </si>
  <si>
    <t>X</t>
  </si>
  <si>
    <t>Discharge = Inflow</t>
  </si>
  <si>
    <t>Initial Type</t>
  </si>
  <si>
    <t>Initial Discharge</t>
  </si>
  <si>
    <t>Muskingum</t>
  </si>
  <si>
    <t>Proposed</t>
  </si>
  <si>
    <t>ModPuls</t>
  </si>
  <si>
    <t>Storage</t>
  </si>
  <si>
    <t>Discharge</t>
  </si>
  <si>
    <t>See the DSSFiles input for the DSS file</t>
  </si>
  <si>
    <t>Pre-computed output from another model for comparison</t>
  </si>
  <si>
    <t>Compare_1_Path_DSS</t>
  </si>
  <si>
    <t>Compare_2_Path_DSS</t>
  </si>
  <si>
    <t>Compare_3_Path_DSS</t>
  </si>
  <si>
    <t>2019 CWMS HMS model did not include reach from Green Peter to Foster</t>
  </si>
  <si>
    <t>This sheet contains the candidate Modified Puls relationships to be used for each reach.</t>
  </si>
  <si>
    <t>This sheet contains the candidate Muskingum routing relationships to be used for reaches.</t>
  </si>
  <si>
    <t>The RoutingID is linked to the Reaches tab</t>
  </si>
  <si>
    <t>PlotGroup</t>
  </si>
  <si>
    <t>Slope_ft_per_mile</t>
  </si>
  <si>
    <t>ElevFt</t>
  </si>
  <si>
    <t>The reaches are shown in GIS as the shapefile "Reaches.shp"</t>
  </si>
  <si>
    <t>The junctions are shown in GIS as the shapefile "Junctions.shp"</t>
  </si>
  <si>
    <t>From 2019 CWMS HMS model</t>
  </si>
  <si>
    <t>Developed using length and slope from 2020 Post-fire HMS model</t>
  </si>
  <si>
    <t>WillametteRv_R160</t>
  </si>
  <si>
    <t>WestLinn</t>
  </si>
  <si>
    <t>Saginaw</t>
  </si>
  <si>
    <t>Farmington is a couple miles downstream</t>
  </si>
  <si>
    <t>//HILLS CREEK/FLOW-OUT//1HOUR/BEST/</t>
  </si>
  <si>
    <t>//Oakridge below North Fork/FLOW//1HOUR/BEST/</t>
  </si>
  <si>
    <t>//Dexter/FLOW-OUT//1HOUR/BEST/</t>
  </si>
  <si>
    <t>//Fall Creek/FLOW-OUT//1HOUR/BEST/</t>
  </si>
  <si>
    <t>//Jasper/FLOW//1HOUR/BEST/</t>
  </si>
  <si>
    <t>//COTTAGE GROVE/FLOW-OUT//1HOUR/BEST/</t>
  </si>
  <si>
    <t>//DORENA/FLOW-OUT//1HOUR/BEST/</t>
  </si>
  <si>
    <t>//Goshen/FLOW//1HOUR/BEST/</t>
  </si>
  <si>
    <t>//Saginaw/FLOW//1HOUR/BEST/</t>
  </si>
  <si>
    <t>//Trail Bridge/FLOW//1HOUR/BEST/</t>
  </si>
  <si>
    <t>//COUGAR/FLOW-OUT//1HOUR/BEST/</t>
  </si>
  <si>
    <t>//BLUE RIVER/FLOW-OUT//1HOUR/BEST/</t>
  </si>
  <si>
    <t>//Vida/FLOW//1HOUR/BEST/</t>
  </si>
  <si>
    <t>//Coburg/FLOW//1HOUR/BEST/</t>
  </si>
  <si>
    <t>//Harrisburg/FLOW//1HOUR/BEST/</t>
  </si>
  <si>
    <t>//FERN RIDGE/FLOW-OUT//1HOUR/BEST/</t>
  </si>
  <si>
    <t>//Monroe/FLOW//1HOUR/BEST/</t>
  </si>
  <si>
    <t>//Philomath/FLOW//1HOUR/BEST/</t>
  </si>
  <si>
    <t>//Corvallis/FLOW//1HOUR/BEST/</t>
  </si>
  <si>
    <t>//Albany/FLOW//1HOUR/BEST/</t>
  </si>
  <si>
    <t>//FOSTER/FLOW-OUT//1HOUR/BEST/</t>
  </si>
  <si>
    <t>//Waterloo/FLOW//1HOUR/BEST/</t>
  </si>
  <si>
    <t>//BIG CLIFF/FLOW-OUT//1HOUR/BEST/</t>
  </si>
  <si>
    <t>//Mehama/FLOW//1HOUR/BEST/</t>
  </si>
  <si>
    <t>//Greens Bridge/FLOW//1HOUR/BEST/</t>
  </si>
  <si>
    <t>//Jefferson/FLOW//1HOUR/BEST/</t>
  </si>
  <si>
    <t>//Suver/FLOW//1HOUR/BEST/</t>
  </si>
  <si>
    <t>//Salem/FLOW//1HOUR/BEST/</t>
  </si>
  <si>
    <t>//McMinnville/FLOW//1HOUR/BEST/</t>
  </si>
  <si>
    <t>//Dilley/FLOW//1HOUR/BEST/</t>
  </si>
  <si>
    <t>//Newberg/FLOW//1HOUR/BEST/</t>
  </si>
  <si>
    <t>//Aurora/FLOW//1HOUR/BEST/</t>
  </si>
  <si>
    <t>//Canby/FLOW//1HOUR/BEST/</t>
  </si>
  <si>
    <t>//West Linn/FLOW//1HOUR/BEST/</t>
  </si>
  <si>
    <t>//GREEN PETER/FLOW-OUT//1HOUR/BEST/</t>
  </si>
  <si>
    <t>//MF WILLAMETTE_BLW NFORK NR OAKRIDGE/FLOW//1HOUR/FIS_SSARR_ROUTED/</t>
  </si>
  <si>
    <t>//MF WILLAMETTE+FALL TO US_JASPER/FLOW//1HOUR/FIS_SSARR_ROUTED/</t>
  </si>
  <si>
    <t>//CF WILLAMETTE+ROW/FLOW//1HOUR/FIS_SSARR_ROUTED/</t>
  </si>
  <si>
    <t>//CF WILLAMETTE+ROW TO US_GOSHEN/FLOW//1HOUR/FIS_SSARR_ROUTED/</t>
  </si>
  <si>
    <t>//MCKENZIE+BLUE TO US_VIDA/FLOW//1HOUR/FIS_SSARR_ROUTED/</t>
  </si>
  <si>
    <t>//WILLAMETTE+MCKENZIE TO US_HARRISBURG/FLOW//1HOUR/FIS_SSARR_ROUTED/</t>
  </si>
  <si>
    <t>//LONG TOM_NR ALVADORE TO US_MONROE/FLOW//1HOUR/FIS_SSARR_ROUTED/</t>
  </si>
  <si>
    <t>//WILLAMETTE+CALAPOOIA TO US_ALBANY/FLOW//1HOUR/FIS_SSARR_ROUTED/</t>
  </si>
  <si>
    <t>//GREEN PETER_OUT TO FOSTER_IN/FLOW//1HOUR/FIS_SSARR_ROUTED/</t>
  </si>
  <si>
    <t>//SO SANTIAM_NR FOSTER TO US_WATERLOO/FLOW//1HOUR/FIS_SSARR_ROUTED/</t>
  </si>
  <si>
    <t>//NO SANTIAM_AT NIAGARA TO US_MEHAMA/FLOW//1HOUR/FIS_SSARR_ROUTED/</t>
  </si>
  <si>
    <t>//NO SANTIAM+SO SANTIAM TO US_JEFFERSON/FLOW//1HOUR/FIS_SSARR_ROUTED/</t>
  </si>
  <si>
    <t>//WILLAMETTE+RICKREALL TO US_SALEM/FLOW//1HOUR/FIS_SSARR_ROUTED/</t>
  </si>
  <si>
    <t>//WILLAMETTE+YAMHILL/FLOW//1HOUR/FIS_SSARR_ROUTED/</t>
  </si>
  <si>
    <t>//WILLAMETTE+TUALATIN TO WILLAMETTE_ABV FALLS AT OREGON CITY/FLOW//1HOUR/FIS_SSARR_ROUTED/</t>
  </si>
  <si>
    <t>//ALBANY/FLOW//1HOUR/CWMS_HMS_ROUTED/</t>
  </si>
  <si>
    <t>//COBURG/FLOW//1HOUR/CWMS_HMS_ROUTED/</t>
  </si>
  <si>
    <t>//CORVALLIS/FLOW//1HOUR/CWMS_HMS_ROUTED/</t>
  </si>
  <si>
    <t>//FOSTER_IN/FLOW//1HOUR/CWMS_HMS_ROUTED/</t>
  </si>
  <si>
    <t>//GOSHEN/FLOW//1HOUR/CWMS_HMS_ROUTED/</t>
  </si>
  <si>
    <t>//HARRISBURG/FLOW//1HOUR/CWMS_HMS_ROUTED/</t>
  </si>
  <si>
    <t>//JASPER/FLOW//1HOUR/CWMS_HMS_ROUTED/</t>
  </si>
  <si>
    <t>//MONROE/FLOW//1HOUR/CWMS_HMS_ROUTED/</t>
  </si>
  <si>
    <t>//NEWBERG/FLOW//1HOUR/CWMS_HMS_ROUTED/</t>
  </si>
  <si>
    <t>//OAKRIDGE_BELOW_NFORK/FLOW//1HOUR/CWMS_HMS_ROUTED/</t>
  </si>
  <si>
    <t>//SAGINAW/FLOW//1HOUR/CWMS_HMS_ROUTED/</t>
  </si>
  <si>
    <t>//SALEM/FLOW//1HOUR/CWMS_HMS_ROUTED/</t>
  </si>
  <si>
    <t>//VIDA/FLOW//1HOUR/CWMS_HMS_ROUTED/</t>
  </si>
  <si>
    <t>//WESTLINN/FLOW//1HOUR/CWMS_HMS_ROUTED/</t>
  </si>
  <si>
    <t>//WILLAMETTE_OREGONCITY/FLOW//1HOUR/CWMS_HMS_ROUTED/</t>
  </si>
  <si>
    <t>//Oregon City/FLOW//1HOUR/BEST/</t>
  </si>
  <si>
    <t>Developed using length and slope from GIS</t>
  </si>
  <si>
    <t>//STAYTON DIV_IN TO GREENS BRIDGE NR JEFFERSON/FLOW//1HOUR/FIS_SSARR_ROUTED/</t>
  </si>
  <si>
    <t>//ABOVE HAYDEN BRIGE AT SPRINGFIELD TO US_COBURG/FLOW//1HOUR/FIS_SSARR_ROUTED/</t>
  </si>
  <si>
    <t>MaxFlow</t>
  </si>
  <si>
    <t>New Reach in HMS</t>
  </si>
  <si>
    <t>//OAKRIDGE_BELOW_NFORK/FLOW//1HOUR//</t>
  </si>
  <si>
    <t>//LOOKOUTPOINT_IN/FLOW//1HOUR//</t>
  </si>
  <si>
    <t>//JASPER/FLOW//1HOUR//</t>
  </si>
  <si>
    <t>//ROWRV_CF/FLOW//1HOUR//</t>
  </si>
  <si>
    <t>//GOSHEN/FLOW//1HOUR//</t>
  </si>
  <si>
    <t>New from Chris Nygaard</t>
  </si>
  <si>
    <t>Modified manually</t>
  </si>
  <si>
    <t>//VIDA/FLOW//1HOUR//</t>
  </si>
  <si>
    <t>//COBURG/FLOW//1HOUR//</t>
  </si>
  <si>
    <t>//HARRISBURG/FLOW//1HOUR//</t>
  </si>
  <si>
    <t>//MONROE/FLOW//1HOUR//</t>
  </si>
  <si>
    <t>//CORVALLIS/FLOW//1HOUR//</t>
  </si>
  <si>
    <t>//ALBANY/FLOW//1HOUR//</t>
  </si>
  <si>
    <t>Matches 2019 CWMS HMS model (original was 3.9)</t>
  </si>
  <si>
    <t>//FOSTER_IN/FLOW//1HOUR//</t>
  </si>
  <si>
    <t>//WATERLOO/FLOW//1HOUR//</t>
  </si>
  <si>
    <t>//MEHAMA/FLOW//1HOUR//</t>
  </si>
  <si>
    <t>//GREENSBRIDGE/FLOW//1HOUR//</t>
  </si>
  <si>
    <t>//JEFFERSON/FLOW//1HOUR//</t>
  </si>
  <si>
    <t>Modified From 2019 CWMS HMS model, originally 6.9</t>
  </si>
  <si>
    <t>Modified From 2019 CWMS HMS model, originally 5.9</t>
  </si>
  <si>
    <t>//SALEM/FLOW//1HOUR//</t>
  </si>
  <si>
    <t>//NEWBERG/FLOW//1HOUR//</t>
  </si>
  <si>
    <t>//WESTLINN/FLOW//1HOUR//</t>
  </si>
  <si>
    <t>//WILLAMETTE_OREGONCITY/FLOW//1HOUR//</t>
  </si>
  <si>
    <t>Subreaches</t>
  </si>
  <si>
    <t>NSantiam_CF</t>
  </si>
  <si>
    <t>SantiamRv_R15</t>
  </si>
  <si>
    <t>JunctionName_Report</t>
  </si>
  <si>
    <t>MF Willamette Below North Fork</t>
  </si>
  <si>
    <t>Hills Creek_Out</t>
  </si>
  <si>
    <t>Lookout Point_In</t>
  </si>
  <si>
    <t>Fall Creek_Out</t>
  </si>
  <si>
    <t>Cottage Grove_Out</t>
  </si>
  <si>
    <t>Trail Bridge_Out</t>
  </si>
  <si>
    <t>Blue River_Out</t>
  </si>
  <si>
    <t>Fern Ridge_Out</t>
  </si>
  <si>
    <t>Green Peter_Out</t>
  </si>
  <si>
    <t>Greens Bridge</t>
  </si>
  <si>
    <t>West Linn</t>
  </si>
  <si>
    <t>Willamette Falls</t>
  </si>
  <si>
    <t>Only for connectivity, not a real reach</t>
  </si>
  <si>
    <t>SSantiamRv_R17</t>
  </si>
  <si>
    <t>Dexter_In</t>
  </si>
  <si>
    <t>BigCliff_Out</t>
  </si>
  <si>
    <t>Big Cliff_Out</t>
  </si>
  <si>
    <t>BigCliff_In</t>
  </si>
  <si>
    <t>Big Cliff_In</t>
  </si>
  <si>
    <t>MFWillametteRV_R53</t>
  </si>
  <si>
    <t>MFWillametteRV_R52</t>
  </si>
  <si>
    <t>NSantiamRv_R17</t>
  </si>
  <si>
    <t>NSantiamRv_R18</t>
  </si>
  <si>
    <t>Yamhill_CF</t>
  </si>
  <si>
    <t>WillametteRv_R87</t>
  </si>
  <si>
    <t>WillametteRv_R77</t>
  </si>
  <si>
    <t>Wilsonville</t>
  </si>
  <si>
    <t>Sourced from Willamette Flow Frequency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</si>
</sst>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xf numFmtId="0" fontId="0" fillId="0" borderId="0" xfId="0" applyAlignment="1">
      <alignment vertical="center"/>
    </xf>
    <xf numFmtId="1" fontId="0" fillId="0" borderId="0" xfId="0" applyNumberFormat="1"/>
    <xf numFmtId="49" fontId="0" fillId="0" borderId="0" xfId="0" quotePrefix="1" applyNumberFormat="1"/>
    <xf numFmtId="49" fontId="0" fillId="0" borderId="0" xfId="0" applyNumberFormat="1"/>
    <xf numFmtId="0" fontId="0" fillId="0" borderId="0" xfId="0" applyFill="1"/>
    <xf numFmtId="0" fontId="0" fillId="0" borderId="0" xfId="0" applyFill="1" applyAlignment="1">
      <alignment vertical="center"/>
    </xf>
    <xf numFmtId="164" fontId="0" fillId="0" borderId="0" xfId="0" applyNumberForma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9B20-DF18-4E1A-BEC2-DBF23514B43B}">
  <sheetPr codeName="Sheet1"/>
  <dimension ref="A1:C69"/>
  <sheetViews>
    <sheetView workbookViewId="0">
      <selection activeCell="A5" sqref="A5"/>
    </sheetView>
  </sheetViews>
  <sheetFormatPr defaultRowHeight="15" x14ac:dyDescent="0.25"/>
  <cols>
    <col min="1" max="1" width="14.42578125" customWidth="1"/>
  </cols>
  <sheetData>
    <row r="1" spans="1:3" x14ac:dyDescent="0.25">
      <c r="A1" t="s">
        <v>278</v>
      </c>
    </row>
    <row r="13" spans="1:3" x14ac:dyDescent="0.25">
      <c r="A13" s="4"/>
      <c r="B13" s="5"/>
      <c r="C13" s="5"/>
    </row>
    <row r="14" spans="1:3" x14ac:dyDescent="0.25">
      <c r="A14" s="5"/>
      <c r="B14" s="5"/>
      <c r="C14" s="5"/>
    </row>
    <row r="15" spans="1:3" x14ac:dyDescent="0.25">
      <c r="A15" s="5"/>
      <c r="B15" s="5"/>
      <c r="C15" s="5"/>
    </row>
    <row r="16" spans="1:3" x14ac:dyDescent="0.25">
      <c r="A16" s="5"/>
      <c r="B16" s="5"/>
      <c r="C16" s="5"/>
    </row>
    <row r="17" spans="1:3" x14ac:dyDescent="0.25">
      <c r="A17" s="4"/>
      <c r="B17" s="5"/>
      <c r="C17" s="5"/>
    </row>
    <row r="18" spans="1:3" x14ac:dyDescent="0.25">
      <c r="A18" s="4"/>
      <c r="B18" s="5"/>
      <c r="C18" s="5"/>
    </row>
    <row r="19" spans="1:3" x14ac:dyDescent="0.25">
      <c r="A19" s="4"/>
      <c r="B19" s="5"/>
      <c r="C19" s="5"/>
    </row>
    <row r="20" spans="1:3" x14ac:dyDescent="0.25">
      <c r="A20" s="4"/>
      <c r="B20" s="5"/>
      <c r="C20" s="5"/>
    </row>
    <row r="21" spans="1:3" x14ac:dyDescent="0.25">
      <c r="A21" s="5"/>
      <c r="B21" s="5"/>
      <c r="C21" s="5"/>
    </row>
    <row r="22" spans="1:3" x14ac:dyDescent="0.25">
      <c r="A22" s="4"/>
      <c r="B22" s="5"/>
      <c r="C22" s="5"/>
    </row>
    <row r="23" spans="1:3" x14ac:dyDescent="0.25">
      <c r="A23" s="5"/>
      <c r="B23" s="5"/>
      <c r="C23" s="5"/>
    </row>
    <row r="24" spans="1:3" x14ac:dyDescent="0.25">
      <c r="A24" s="5"/>
      <c r="B24" s="5"/>
      <c r="C24" s="5"/>
    </row>
    <row r="29" spans="1:3" x14ac:dyDescent="0.25">
      <c r="A29" s="4"/>
      <c r="B29" s="5"/>
      <c r="C29" s="5"/>
    </row>
    <row r="30" spans="1:3" x14ac:dyDescent="0.25">
      <c r="A30" s="5"/>
      <c r="B30" s="5"/>
      <c r="C30" s="5"/>
    </row>
    <row r="31" spans="1:3" x14ac:dyDescent="0.25">
      <c r="A31" s="5"/>
      <c r="B31" s="5"/>
      <c r="C31" s="5"/>
    </row>
    <row r="32" spans="1:3" x14ac:dyDescent="0.25">
      <c r="A32" s="5"/>
      <c r="B32" s="5"/>
      <c r="C32" s="5"/>
    </row>
    <row r="33" spans="1:3" x14ac:dyDescent="0.25">
      <c r="A33" s="5"/>
      <c r="B33" s="5"/>
      <c r="C33" s="5"/>
    </row>
    <row r="34" spans="1:3" x14ac:dyDescent="0.25">
      <c r="A34" s="5"/>
      <c r="B34" s="5"/>
      <c r="C34" s="5"/>
    </row>
    <row r="36" spans="1:3" x14ac:dyDescent="0.25">
      <c r="A36" s="5"/>
    </row>
    <row r="37" spans="1:3" x14ac:dyDescent="0.25">
      <c r="A37" s="4"/>
      <c r="B37" s="5"/>
      <c r="C37" s="5"/>
    </row>
    <row r="38" spans="1:3" x14ac:dyDescent="0.25">
      <c r="A38" s="5"/>
      <c r="B38" s="5"/>
      <c r="C38" s="5"/>
    </row>
    <row r="39" spans="1:3" x14ac:dyDescent="0.25">
      <c r="A39" s="5"/>
      <c r="B39" s="5"/>
      <c r="C39" s="5"/>
    </row>
    <row r="40" spans="1:3" x14ac:dyDescent="0.25">
      <c r="A40" s="5"/>
      <c r="B40" s="5"/>
      <c r="C40" s="5"/>
    </row>
    <row r="41" spans="1:3" x14ac:dyDescent="0.25">
      <c r="A41" s="5"/>
      <c r="B41" s="5"/>
      <c r="C41" s="5"/>
    </row>
    <row r="42" spans="1:3" x14ac:dyDescent="0.25">
      <c r="A42" s="5"/>
      <c r="B42" s="5"/>
      <c r="C42" s="5"/>
    </row>
    <row r="46" spans="1:3" x14ac:dyDescent="0.25">
      <c r="A46" s="4"/>
      <c r="B46" s="5"/>
      <c r="C46" s="5"/>
    </row>
    <row r="47" spans="1:3" x14ac:dyDescent="0.25">
      <c r="A47" s="5"/>
      <c r="B47" s="5"/>
      <c r="C47" s="5"/>
    </row>
    <row r="48" spans="1:3" x14ac:dyDescent="0.25">
      <c r="A48" s="5"/>
      <c r="B48" s="5"/>
      <c r="C48" s="5"/>
    </row>
    <row r="49" spans="1:3" x14ac:dyDescent="0.25">
      <c r="A49" s="4"/>
      <c r="B49" s="5"/>
      <c r="C49" s="5"/>
    </row>
    <row r="50" spans="1:3" x14ac:dyDescent="0.25">
      <c r="A50" s="5"/>
      <c r="B50" s="5"/>
      <c r="C50" s="5"/>
    </row>
    <row r="51" spans="1:3" x14ac:dyDescent="0.25">
      <c r="A51" s="5"/>
      <c r="B51" s="5"/>
      <c r="C51" s="5"/>
    </row>
    <row r="52" spans="1:3" x14ac:dyDescent="0.25">
      <c r="A52" s="5"/>
      <c r="B52" s="5"/>
      <c r="C52" s="5"/>
    </row>
    <row r="54" spans="1:3" x14ac:dyDescent="0.25">
      <c r="A54" s="5"/>
    </row>
    <row r="55" spans="1:3" x14ac:dyDescent="0.25">
      <c r="A55" s="4"/>
      <c r="B55" s="5"/>
      <c r="C55" s="5"/>
    </row>
    <row r="56" spans="1:3" x14ac:dyDescent="0.25">
      <c r="A56" s="5"/>
      <c r="B56" s="5"/>
      <c r="C56" s="5"/>
    </row>
    <row r="57" spans="1:3" x14ac:dyDescent="0.25">
      <c r="A57" s="5"/>
      <c r="B57" s="5"/>
      <c r="C57" s="5"/>
    </row>
    <row r="58" spans="1:3" x14ac:dyDescent="0.25">
      <c r="A58" s="5"/>
      <c r="B58" s="5"/>
      <c r="C58" s="5"/>
    </row>
    <row r="59" spans="1:3" x14ac:dyDescent="0.25">
      <c r="A59" s="4"/>
      <c r="B59" s="5"/>
      <c r="C59" s="5"/>
    </row>
    <row r="60" spans="1:3" x14ac:dyDescent="0.25">
      <c r="A60" s="4"/>
      <c r="B60" s="5"/>
      <c r="C60" s="5"/>
    </row>
    <row r="61" spans="1:3" x14ac:dyDescent="0.25">
      <c r="A61" s="4"/>
      <c r="B61" s="5"/>
      <c r="C61" s="5"/>
    </row>
    <row r="62" spans="1:3" x14ac:dyDescent="0.25">
      <c r="A62" s="4"/>
      <c r="B62" s="5"/>
      <c r="C62" s="5"/>
    </row>
    <row r="63" spans="1:3" x14ac:dyDescent="0.25">
      <c r="A63" s="5"/>
      <c r="B63" s="5"/>
      <c r="C63" s="5"/>
    </row>
    <row r="64" spans="1:3" x14ac:dyDescent="0.25">
      <c r="A64" s="4"/>
      <c r="B64" s="5"/>
      <c r="C64" s="5"/>
    </row>
    <row r="65" spans="1:3" x14ac:dyDescent="0.25">
      <c r="A65" s="5"/>
      <c r="B65" s="5"/>
      <c r="C65" s="5"/>
    </row>
    <row r="66" spans="1:3" x14ac:dyDescent="0.25">
      <c r="A66" s="5"/>
      <c r="B66" s="5"/>
      <c r="C66" s="5"/>
    </row>
    <row r="69" spans="1:3" x14ac:dyDescent="0.25">
      <c r="A6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E4D90-CF80-43EF-974F-985AE4CB447C}">
  <sheetPr codeName="Sheet3"/>
  <dimension ref="A1:L60"/>
  <sheetViews>
    <sheetView tabSelected="1" workbookViewId="0">
      <pane ySplit="6" topLeftCell="A7" activePane="bottomLeft" state="frozen"/>
      <selection pane="bottomLeft" activeCell="B30" sqref="B29:B30"/>
    </sheetView>
  </sheetViews>
  <sheetFormatPr defaultRowHeight="15" x14ac:dyDescent="0.25"/>
  <cols>
    <col min="2" max="2" width="20.5703125" bestFit="1" customWidth="1"/>
    <col min="3" max="3" width="15.140625" bestFit="1" customWidth="1"/>
    <col min="4" max="4" width="22.42578125" bestFit="1" customWidth="1"/>
    <col min="5" max="5" width="12" bestFit="1" customWidth="1"/>
    <col min="6" max="6" width="12.5703125" customWidth="1"/>
    <col min="7" max="7" width="17.85546875" bestFit="1" customWidth="1"/>
    <col min="8" max="8" width="14.140625" bestFit="1" customWidth="1"/>
    <col min="9" max="9" width="14.140625" customWidth="1"/>
    <col min="10" max="10" width="44" customWidth="1"/>
    <col min="11" max="12" width="11.7109375" customWidth="1"/>
  </cols>
  <sheetData>
    <row r="1" spans="1:12" x14ac:dyDescent="0.25">
      <c r="A1" t="s">
        <v>117</v>
      </c>
    </row>
    <row r="2" spans="1:12" x14ac:dyDescent="0.25">
      <c r="A2" t="s">
        <v>143</v>
      </c>
    </row>
    <row r="4" spans="1:12" x14ac:dyDescent="0.25">
      <c r="D4" t="s">
        <v>104</v>
      </c>
    </row>
    <row r="5" spans="1:12" x14ac:dyDescent="0.25">
      <c r="F5" t="s">
        <v>127</v>
      </c>
    </row>
    <row r="6" spans="1:12" x14ac:dyDescent="0.25">
      <c r="A6" t="s">
        <v>41</v>
      </c>
      <c r="B6" t="s">
        <v>0</v>
      </c>
      <c r="C6" t="s">
        <v>115</v>
      </c>
      <c r="D6" t="s">
        <v>116</v>
      </c>
      <c r="E6" t="s">
        <v>119</v>
      </c>
      <c r="F6" t="s">
        <v>1</v>
      </c>
      <c r="G6" t="s">
        <v>120</v>
      </c>
      <c r="H6" t="s">
        <v>40</v>
      </c>
      <c r="I6" t="s">
        <v>141</v>
      </c>
      <c r="J6" t="s">
        <v>42</v>
      </c>
      <c r="K6" t="s">
        <v>140</v>
      </c>
      <c r="L6" t="s">
        <v>220</v>
      </c>
    </row>
    <row r="7" spans="1:12" x14ac:dyDescent="0.25">
      <c r="A7">
        <v>1</v>
      </c>
      <c r="B7" t="s">
        <v>19</v>
      </c>
      <c r="C7" t="s">
        <v>44</v>
      </c>
      <c r="D7" t="s">
        <v>45</v>
      </c>
      <c r="E7">
        <f>A7</f>
        <v>1</v>
      </c>
      <c r="F7" t="s">
        <v>128</v>
      </c>
      <c r="G7">
        <v>1</v>
      </c>
      <c r="H7">
        <v>7.4</v>
      </c>
      <c r="I7">
        <v>5.0999999999999996</v>
      </c>
      <c r="K7">
        <v>1</v>
      </c>
      <c r="L7">
        <f>INDEX(Junctions!$L$7:$L$61,MATCH(Reaches!C7,Junctions!$B$7:$B$61,0))</f>
        <v>34000</v>
      </c>
    </row>
    <row r="8" spans="1:12" x14ac:dyDescent="0.25">
      <c r="A8">
        <v>2</v>
      </c>
      <c r="B8" t="s">
        <v>3</v>
      </c>
      <c r="C8" t="s">
        <v>45</v>
      </c>
      <c r="D8" t="s">
        <v>46</v>
      </c>
      <c r="E8">
        <f t="shared" ref="E8:E60" si="0">A8</f>
        <v>2</v>
      </c>
      <c r="F8" t="s">
        <v>128</v>
      </c>
      <c r="G8">
        <v>1</v>
      </c>
      <c r="H8">
        <v>4.0999999999999996</v>
      </c>
      <c r="I8">
        <v>102.7</v>
      </c>
      <c r="K8">
        <v>1</v>
      </c>
      <c r="L8">
        <f>INDEX(Junctions!$L$7:$L$61,MATCH(Reaches!C8,Junctions!$B$7:$B$61,0))</f>
        <v>81800</v>
      </c>
    </row>
    <row r="9" spans="1:12" x14ac:dyDescent="0.25">
      <c r="A9">
        <v>3</v>
      </c>
      <c r="B9" t="s">
        <v>93</v>
      </c>
      <c r="C9" t="s">
        <v>46</v>
      </c>
      <c r="D9" t="s">
        <v>47</v>
      </c>
      <c r="E9">
        <f t="shared" si="0"/>
        <v>3</v>
      </c>
      <c r="F9" t="s">
        <v>128</v>
      </c>
      <c r="G9">
        <v>2</v>
      </c>
      <c r="H9" s="6">
        <v>17</v>
      </c>
      <c r="I9" s="6">
        <v>67.900000000000006</v>
      </c>
      <c r="J9" t="s">
        <v>221</v>
      </c>
      <c r="K9">
        <v>1</v>
      </c>
      <c r="L9">
        <f>INDEX(Junctions!$L$7:$L$61,MATCH(Reaches!C9,Junctions!$B$7:$B$61,0))</f>
        <v>81800</v>
      </c>
    </row>
    <row r="10" spans="1:12" x14ac:dyDescent="0.25">
      <c r="A10">
        <v>3.1</v>
      </c>
      <c r="B10" t="s">
        <v>270</v>
      </c>
      <c r="C10" t="s">
        <v>47</v>
      </c>
      <c r="D10" t="s">
        <v>265</v>
      </c>
      <c r="E10">
        <v>9903</v>
      </c>
      <c r="F10" t="s">
        <v>14</v>
      </c>
      <c r="G10">
        <v>1</v>
      </c>
      <c r="H10" s="6">
        <v>99</v>
      </c>
      <c r="I10" s="6">
        <v>99</v>
      </c>
      <c r="J10" t="s">
        <v>263</v>
      </c>
      <c r="K10">
        <v>1</v>
      </c>
      <c r="L10">
        <f>INDEX(Junctions!$L$7:$L$61,MATCH(Reaches!C10,Junctions!$B$7:$B$61,0))</f>
        <v>81800</v>
      </c>
    </row>
    <row r="11" spans="1:12" x14ac:dyDescent="0.25">
      <c r="A11">
        <v>3.2</v>
      </c>
      <c r="B11" t="s">
        <v>271</v>
      </c>
      <c r="C11" t="s">
        <v>265</v>
      </c>
      <c r="D11" t="s">
        <v>48</v>
      </c>
      <c r="E11">
        <v>9904</v>
      </c>
      <c r="F11" t="s">
        <v>14</v>
      </c>
      <c r="G11">
        <v>1</v>
      </c>
      <c r="H11" s="6">
        <v>99</v>
      </c>
      <c r="I11" s="6">
        <v>99</v>
      </c>
      <c r="J11" t="s">
        <v>263</v>
      </c>
      <c r="K11">
        <v>1</v>
      </c>
      <c r="L11">
        <f>INDEX(Junctions!$L$7:$L$61,MATCH(Reaches!C11,Junctions!$B$7:$B$61,0))</f>
        <v>81800</v>
      </c>
    </row>
    <row r="12" spans="1:12" x14ac:dyDescent="0.25">
      <c r="A12">
        <v>4</v>
      </c>
      <c r="B12" t="s">
        <v>38</v>
      </c>
      <c r="C12" t="s">
        <v>48</v>
      </c>
      <c r="D12" t="s">
        <v>50</v>
      </c>
      <c r="E12">
        <f t="shared" si="0"/>
        <v>4</v>
      </c>
      <c r="F12" t="s">
        <v>128</v>
      </c>
      <c r="G12">
        <v>1</v>
      </c>
      <c r="H12">
        <v>5.4</v>
      </c>
      <c r="I12">
        <v>15.2</v>
      </c>
      <c r="K12">
        <v>1</v>
      </c>
      <c r="L12">
        <f>INDEX(Junctions!$L$7:$L$61,MATCH(Reaches!C12,Junctions!$B$7:$B$61,0))</f>
        <v>81800</v>
      </c>
    </row>
    <row r="13" spans="1:12" x14ac:dyDescent="0.25">
      <c r="A13">
        <v>5</v>
      </c>
      <c r="B13" t="s">
        <v>21</v>
      </c>
      <c r="C13" t="s">
        <v>49</v>
      </c>
      <c r="D13" t="s">
        <v>50</v>
      </c>
      <c r="E13">
        <f t="shared" si="0"/>
        <v>5</v>
      </c>
      <c r="F13" t="s">
        <v>128</v>
      </c>
      <c r="G13">
        <v>1</v>
      </c>
      <c r="H13">
        <v>7</v>
      </c>
      <c r="I13">
        <v>19.899999999999999</v>
      </c>
      <c r="K13">
        <v>1</v>
      </c>
      <c r="L13">
        <f>INDEX(Junctions!$L$7:$L$61,MATCH(Reaches!C13,Junctions!$B$7:$B$61,0))</f>
        <v>24700</v>
      </c>
    </row>
    <row r="14" spans="1:12" x14ac:dyDescent="0.25">
      <c r="A14">
        <v>6</v>
      </c>
      <c r="B14" t="s">
        <v>36</v>
      </c>
      <c r="C14" t="s">
        <v>50</v>
      </c>
      <c r="D14" t="s">
        <v>51</v>
      </c>
      <c r="E14">
        <f t="shared" si="0"/>
        <v>6</v>
      </c>
      <c r="F14" t="s">
        <v>128</v>
      </c>
      <c r="G14">
        <v>1</v>
      </c>
      <c r="H14">
        <v>3</v>
      </c>
      <c r="I14">
        <v>10.5</v>
      </c>
      <c r="K14">
        <v>1</v>
      </c>
      <c r="L14">
        <f>INDEX(Junctions!$L$7:$L$61,MATCH(Reaches!C14,Junctions!$B$7:$B$61,0))</f>
        <v>73400</v>
      </c>
    </row>
    <row r="15" spans="1:12" x14ac:dyDescent="0.25">
      <c r="A15">
        <v>7</v>
      </c>
      <c r="B15" t="s">
        <v>34</v>
      </c>
      <c r="C15" t="s">
        <v>51</v>
      </c>
      <c r="D15" t="s">
        <v>56</v>
      </c>
      <c r="E15">
        <f t="shared" si="0"/>
        <v>7</v>
      </c>
      <c r="F15" t="s">
        <v>128</v>
      </c>
      <c r="G15">
        <v>2</v>
      </c>
      <c r="H15">
        <v>8</v>
      </c>
      <c r="I15">
        <v>15</v>
      </c>
      <c r="K15">
        <v>1</v>
      </c>
      <c r="L15">
        <f>INDEX(Junctions!$L$7:$L$61,MATCH(Reaches!C15,Junctions!$B$7:$B$61,0))</f>
        <v>73400</v>
      </c>
    </row>
    <row r="16" spans="1:12" x14ac:dyDescent="0.25">
      <c r="A16">
        <v>8</v>
      </c>
      <c r="B16" t="s">
        <v>23</v>
      </c>
      <c r="C16" t="s">
        <v>52</v>
      </c>
      <c r="D16" t="s">
        <v>54</v>
      </c>
      <c r="E16">
        <f t="shared" si="0"/>
        <v>8</v>
      </c>
      <c r="F16" t="s">
        <v>128</v>
      </c>
      <c r="G16">
        <v>2</v>
      </c>
      <c r="H16">
        <v>7.5</v>
      </c>
      <c r="I16">
        <v>17.8</v>
      </c>
      <c r="K16">
        <v>2</v>
      </c>
      <c r="L16">
        <f>INDEX(Junctions!$L$7:$L$61,MATCH(Reaches!C16,Junctions!$B$7:$B$61,0))</f>
        <v>21400</v>
      </c>
    </row>
    <row r="17" spans="1:12" x14ac:dyDescent="0.25">
      <c r="A17">
        <v>9</v>
      </c>
      <c r="B17" t="s">
        <v>7</v>
      </c>
      <c r="C17" t="s">
        <v>53</v>
      </c>
      <c r="D17" t="s">
        <v>54</v>
      </c>
      <c r="E17">
        <f t="shared" si="0"/>
        <v>9</v>
      </c>
      <c r="F17" t="s">
        <v>128</v>
      </c>
      <c r="G17">
        <v>2</v>
      </c>
      <c r="H17">
        <v>8.8000000000000007</v>
      </c>
      <c r="I17">
        <v>8.6999999999999993</v>
      </c>
      <c r="K17">
        <v>2</v>
      </c>
      <c r="L17">
        <f>INDEX(Junctions!$L$7:$L$61,MATCH(Reaches!C17,Junctions!$B$7:$B$61,0))</f>
        <v>12000</v>
      </c>
    </row>
    <row r="18" spans="1:12" x14ac:dyDescent="0.25">
      <c r="A18">
        <v>10</v>
      </c>
      <c r="B18" t="s">
        <v>22</v>
      </c>
      <c r="C18" t="s">
        <v>54</v>
      </c>
      <c r="D18" t="s">
        <v>55</v>
      </c>
      <c r="E18">
        <f t="shared" si="0"/>
        <v>10</v>
      </c>
      <c r="F18" t="s">
        <v>128</v>
      </c>
      <c r="G18">
        <v>5</v>
      </c>
      <c r="H18">
        <v>14.3</v>
      </c>
      <c r="I18">
        <v>14.2</v>
      </c>
      <c r="K18">
        <v>2</v>
      </c>
      <c r="L18">
        <f>INDEX(Junctions!$L$7:$L$61,MATCH(Reaches!C18,Junctions!$B$7:$B$61,0))</f>
        <v>33400</v>
      </c>
    </row>
    <row r="19" spans="1:12" x14ac:dyDescent="0.25">
      <c r="A19">
        <v>11</v>
      </c>
      <c r="B19" t="s">
        <v>5</v>
      </c>
      <c r="C19" t="s">
        <v>55</v>
      </c>
      <c r="D19" t="s">
        <v>56</v>
      </c>
      <c r="E19">
        <f t="shared" si="0"/>
        <v>11</v>
      </c>
      <c r="F19" t="s">
        <v>128</v>
      </c>
      <c r="G19">
        <v>2</v>
      </c>
      <c r="H19">
        <v>5.6</v>
      </c>
      <c r="I19">
        <v>8.8000000000000007</v>
      </c>
      <c r="K19">
        <v>2</v>
      </c>
      <c r="L19">
        <f>INDEX(Junctions!$L$7:$L$61,MATCH(Reaches!C19,Junctions!$B$7:$B$61,0))</f>
        <v>33400</v>
      </c>
    </row>
    <row r="20" spans="1:12" x14ac:dyDescent="0.25">
      <c r="A20">
        <v>12</v>
      </c>
      <c r="B20" t="s">
        <v>89</v>
      </c>
      <c r="C20" t="s">
        <v>56</v>
      </c>
      <c r="D20" t="s">
        <v>64</v>
      </c>
      <c r="E20">
        <f t="shared" si="0"/>
        <v>12</v>
      </c>
      <c r="F20" t="s">
        <v>128</v>
      </c>
      <c r="G20">
        <v>3</v>
      </c>
      <c r="H20">
        <v>11.7</v>
      </c>
      <c r="I20">
        <v>6.5</v>
      </c>
      <c r="K20">
        <v>5</v>
      </c>
      <c r="L20">
        <f>INDEX(Junctions!$L$7:$L$61,MATCH(Reaches!C20,Junctions!$B$7:$B$61,0))</f>
        <v>140000</v>
      </c>
    </row>
    <row r="21" spans="1:12" x14ac:dyDescent="0.25">
      <c r="A21">
        <v>13</v>
      </c>
      <c r="B21" t="s">
        <v>16</v>
      </c>
      <c r="C21" t="s">
        <v>58</v>
      </c>
      <c r="D21" t="s">
        <v>59</v>
      </c>
      <c r="E21">
        <f t="shared" si="0"/>
        <v>13</v>
      </c>
      <c r="F21" t="s">
        <v>126</v>
      </c>
      <c r="G21">
        <v>1</v>
      </c>
      <c r="H21">
        <v>21.5</v>
      </c>
      <c r="I21">
        <v>42</v>
      </c>
      <c r="K21">
        <v>3</v>
      </c>
      <c r="L21">
        <f>INDEX(Junctions!$L$7:$L$61,MATCH(Reaches!C21,Junctions!$B$7:$B$61,0))</f>
        <v>11200</v>
      </c>
    </row>
    <row r="22" spans="1:12" x14ac:dyDescent="0.25">
      <c r="A22">
        <v>14</v>
      </c>
      <c r="B22" t="s">
        <v>32</v>
      </c>
      <c r="C22" t="s">
        <v>57</v>
      </c>
      <c r="D22" t="s">
        <v>59</v>
      </c>
      <c r="E22">
        <f t="shared" si="0"/>
        <v>14</v>
      </c>
      <c r="F22" t="s">
        <v>128</v>
      </c>
      <c r="G22">
        <v>1</v>
      </c>
      <c r="H22">
        <v>4.5</v>
      </c>
      <c r="I22">
        <v>59.2</v>
      </c>
      <c r="K22">
        <v>3</v>
      </c>
      <c r="L22">
        <f>INDEX(Junctions!$L$7:$L$61,MATCH(Reaches!C22,Junctions!$B$7:$B$61,0))</f>
        <v>24500</v>
      </c>
    </row>
    <row r="23" spans="1:12" x14ac:dyDescent="0.25">
      <c r="A23">
        <v>15</v>
      </c>
      <c r="B23" t="s">
        <v>13</v>
      </c>
      <c r="C23" t="s">
        <v>59</v>
      </c>
      <c r="D23" t="s">
        <v>61</v>
      </c>
      <c r="E23">
        <f t="shared" si="0"/>
        <v>15</v>
      </c>
      <c r="F23" t="s">
        <v>128</v>
      </c>
      <c r="G23">
        <v>1</v>
      </c>
      <c r="H23">
        <v>2.7</v>
      </c>
      <c r="I23">
        <v>23.1</v>
      </c>
      <c r="K23">
        <v>3</v>
      </c>
      <c r="L23">
        <f>INDEX(Junctions!$L$7:$L$61,MATCH(Reaches!C23,Junctions!$B$7:$B$61,0))</f>
        <v>35700</v>
      </c>
    </row>
    <row r="24" spans="1:12" x14ac:dyDescent="0.25">
      <c r="A24">
        <v>16</v>
      </c>
      <c r="B24" t="s">
        <v>90</v>
      </c>
      <c r="C24" t="s">
        <v>60</v>
      </c>
      <c r="D24" t="s">
        <v>61</v>
      </c>
      <c r="E24">
        <f t="shared" si="0"/>
        <v>16</v>
      </c>
      <c r="F24" t="s">
        <v>128</v>
      </c>
      <c r="G24">
        <v>1</v>
      </c>
      <c r="H24">
        <v>1.8</v>
      </c>
      <c r="I24">
        <v>167.9</v>
      </c>
      <c r="J24" t="s">
        <v>221</v>
      </c>
      <c r="K24">
        <v>3</v>
      </c>
      <c r="L24">
        <f>INDEX(Junctions!$L$7:$L$61,MATCH(Reaches!C24,Junctions!$B$7:$B$61,0))</f>
        <v>20000</v>
      </c>
    </row>
    <row r="25" spans="1:12" x14ac:dyDescent="0.25">
      <c r="A25">
        <v>17</v>
      </c>
      <c r="B25" t="s">
        <v>11</v>
      </c>
      <c r="C25" t="s">
        <v>61</v>
      </c>
      <c r="D25" t="s">
        <v>62</v>
      </c>
      <c r="E25">
        <f t="shared" si="0"/>
        <v>17</v>
      </c>
      <c r="F25" t="s">
        <v>128</v>
      </c>
      <c r="G25" s="6">
        <f>ROUND(H25*5280/(60*60*5),0)-1</f>
        <v>2</v>
      </c>
      <c r="H25">
        <v>9.1</v>
      </c>
      <c r="I25">
        <v>19</v>
      </c>
      <c r="K25">
        <v>3</v>
      </c>
      <c r="L25">
        <f>INDEX(Junctions!$L$7:$L$61,MATCH(Reaches!C25,Junctions!$B$7:$B$61,0))</f>
        <v>55700</v>
      </c>
    </row>
    <row r="26" spans="1:12" x14ac:dyDescent="0.25">
      <c r="A26">
        <v>18</v>
      </c>
      <c r="B26" t="s">
        <v>96</v>
      </c>
      <c r="C26" t="s">
        <v>62</v>
      </c>
      <c r="D26" t="s">
        <v>95</v>
      </c>
      <c r="E26">
        <f t="shared" si="0"/>
        <v>18</v>
      </c>
      <c r="F26" t="s">
        <v>128</v>
      </c>
      <c r="G26" s="6">
        <f>ROUND(H26*5280/(60*60*5),0)-1</f>
        <v>5</v>
      </c>
      <c r="H26">
        <v>19.600000000000001</v>
      </c>
      <c r="I26">
        <v>15.5</v>
      </c>
      <c r="J26" t="s">
        <v>94</v>
      </c>
      <c r="K26">
        <v>3</v>
      </c>
      <c r="L26">
        <f>INDEX(Junctions!$L$7:$L$61,MATCH(Reaches!C26,Junctions!$B$7:$B$61,0))</f>
        <v>64400</v>
      </c>
    </row>
    <row r="27" spans="1:12" x14ac:dyDescent="0.25">
      <c r="A27">
        <v>19</v>
      </c>
      <c r="B27" t="s">
        <v>6</v>
      </c>
      <c r="C27" t="s">
        <v>95</v>
      </c>
      <c r="D27" t="s">
        <v>63</v>
      </c>
      <c r="E27">
        <f t="shared" si="0"/>
        <v>19</v>
      </c>
      <c r="F27" t="s">
        <v>128</v>
      </c>
      <c r="G27" s="6">
        <f>ROUND(H27*5280/(60*60*5),0)+2</f>
        <v>8</v>
      </c>
      <c r="H27" s="6">
        <v>20.5</v>
      </c>
      <c r="I27" s="6">
        <v>9.5</v>
      </c>
      <c r="J27" t="s">
        <v>97</v>
      </c>
      <c r="K27">
        <v>3</v>
      </c>
      <c r="L27">
        <f>INDEX(Junctions!$L$7:$L$61,MATCH(Reaches!C27,Junctions!$B$7:$B$61,0))</f>
        <v>76300</v>
      </c>
    </row>
    <row r="28" spans="1:12" x14ac:dyDescent="0.25">
      <c r="A28">
        <v>20</v>
      </c>
      <c r="B28" t="s">
        <v>9</v>
      </c>
      <c r="C28" t="s">
        <v>63</v>
      </c>
      <c r="D28" t="s">
        <v>64</v>
      </c>
      <c r="E28">
        <f t="shared" si="0"/>
        <v>20</v>
      </c>
      <c r="F28" t="s">
        <v>128</v>
      </c>
      <c r="G28" s="6">
        <v>1</v>
      </c>
      <c r="H28" s="6">
        <v>3.3</v>
      </c>
      <c r="I28" s="6">
        <v>9.1</v>
      </c>
      <c r="K28">
        <v>3</v>
      </c>
      <c r="L28">
        <f>INDEX(Junctions!$L$7:$L$61,MATCH(Reaches!C28,Junctions!$B$7:$B$61,0))</f>
        <v>88200</v>
      </c>
    </row>
    <row r="29" spans="1:12" x14ac:dyDescent="0.25">
      <c r="A29">
        <v>21</v>
      </c>
      <c r="B29" t="s">
        <v>147</v>
      </c>
      <c r="C29" t="s">
        <v>64</v>
      </c>
      <c r="D29" t="s">
        <v>65</v>
      </c>
      <c r="E29">
        <f t="shared" si="0"/>
        <v>21</v>
      </c>
      <c r="F29" t="s">
        <v>128</v>
      </c>
      <c r="G29" s="6">
        <v>8</v>
      </c>
      <c r="H29" s="6">
        <v>13.2</v>
      </c>
      <c r="I29" s="6">
        <v>5.4</v>
      </c>
      <c r="K29">
        <v>5</v>
      </c>
      <c r="L29">
        <f>INDEX(Junctions!$L$7:$L$61,MATCH(Reaches!C29,Junctions!$B$7:$B$61,0))</f>
        <v>210000</v>
      </c>
    </row>
    <row r="30" spans="1:12" x14ac:dyDescent="0.25">
      <c r="A30">
        <v>22</v>
      </c>
      <c r="B30" t="s">
        <v>39</v>
      </c>
      <c r="C30" t="s">
        <v>65</v>
      </c>
      <c r="D30" t="s">
        <v>68</v>
      </c>
      <c r="E30">
        <f t="shared" si="0"/>
        <v>22</v>
      </c>
      <c r="F30" t="s">
        <v>128</v>
      </c>
      <c r="G30" s="6">
        <f>ROUND(H30*5280/(60*60*5),0)-1</f>
        <v>3</v>
      </c>
      <c r="H30" s="6">
        <v>12.4</v>
      </c>
      <c r="I30" s="6">
        <v>4.0999999999999996</v>
      </c>
      <c r="K30">
        <v>5</v>
      </c>
      <c r="L30">
        <f>INDEX(Junctions!$L$7:$L$61,MATCH(Reaches!C30,Junctions!$B$7:$B$61,0))</f>
        <v>210000</v>
      </c>
    </row>
    <row r="31" spans="1:12" x14ac:dyDescent="0.25">
      <c r="A31">
        <v>23</v>
      </c>
      <c r="B31" t="s">
        <v>2</v>
      </c>
      <c r="C31" t="s">
        <v>66</v>
      </c>
      <c r="D31" t="s">
        <v>67</v>
      </c>
      <c r="E31">
        <f t="shared" si="0"/>
        <v>23</v>
      </c>
      <c r="F31" t="s">
        <v>128</v>
      </c>
      <c r="G31" s="6">
        <f>ROUND(H31*5280/(60*60*5),0)-1</f>
        <v>4</v>
      </c>
      <c r="H31" s="6">
        <v>16.600000000000001</v>
      </c>
      <c r="I31" s="6">
        <v>4.2</v>
      </c>
      <c r="K31">
        <v>4</v>
      </c>
      <c r="L31">
        <f>INDEX(Junctions!$L$7:$L$61,MATCH(Reaches!C31,Junctions!$B$7:$B$61,0))</f>
        <v>11500</v>
      </c>
    </row>
    <row r="32" spans="1:12" x14ac:dyDescent="0.25">
      <c r="A32">
        <v>24</v>
      </c>
      <c r="B32" t="s">
        <v>18</v>
      </c>
      <c r="C32" t="s">
        <v>67</v>
      </c>
      <c r="D32" t="s">
        <v>68</v>
      </c>
      <c r="E32">
        <f t="shared" si="0"/>
        <v>24</v>
      </c>
      <c r="F32" t="s">
        <v>128</v>
      </c>
      <c r="G32" s="6">
        <f>ROUND(H32*5280/(60*60*5),0)</f>
        <v>2</v>
      </c>
      <c r="H32" s="6">
        <v>7.6</v>
      </c>
      <c r="I32" s="6">
        <v>4.4000000000000004</v>
      </c>
      <c r="K32">
        <v>4</v>
      </c>
      <c r="L32">
        <f>INDEX(Junctions!$L$7:$L$61,MATCH(Reaches!C32,Junctions!$B$7:$B$61,0))</f>
        <v>19300</v>
      </c>
    </row>
    <row r="33" spans="1:12" x14ac:dyDescent="0.25">
      <c r="A33">
        <v>25</v>
      </c>
      <c r="B33" t="s">
        <v>37</v>
      </c>
      <c r="C33" t="s">
        <v>68</v>
      </c>
      <c r="D33" t="s">
        <v>70</v>
      </c>
      <c r="E33">
        <f t="shared" si="0"/>
        <v>25</v>
      </c>
      <c r="F33" t="s">
        <v>128</v>
      </c>
      <c r="G33" s="6">
        <f>ROUND(H33*5280/(60*60*5),0)-1</f>
        <v>4</v>
      </c>
      <c r="H33" s="6">
        <v>16.3</v>
      </c>
      <c r="I33" s="6">
        <v>4.7</v>
      </c>
      <c r="K33">
        <v>5</v>
      </c>
      <c r="L33">
        <f>INDEX(Junctions!$L$7:$L$61,MATCH(Reaches!C33,Junctions!$B$7:$B$61,0))</f>
        <v>218000</v>
      </c>
    </row>
    <row r="34" spans="1:12" x14ac:dyDescent="0.25">
      <c r="A34">
        <v>26</v>
      </c>
      <c r="B34" t="s">
        <v>8</v>
      </c>
      <c r="C34" t="s">
        <v>69</v>
      </c>
      <c r="D34" t="s">
        <v>70</v>
      </c>
      <c r="E34">
        <f t="shared" si="0"/>
        <v>26</v>
      </c>
      <c r="F34" t="s">
        <v>126</v>
      </c>
      <c r="G34" s="7">
        <v>1</v>
      </c>
      <c r="H34" s="6">
        <v>8.9</v>
      </c>
      <c r="I34" s="6">
        <v>5.0999999999999996</v>
      </c>
      <c r="K34">
        <v>5</v>
      </c>
    </row>
    <row r="35" spans="1:12" x14ac:dyDescent="0.25">
      <c r="A35">
        <v>27</v>
      </c>
      <c r="B35" t="s">
        <v>35</v>
      </c>
      <c r="C35" t="s">
        <v>70</v>
      </c>
      <c r="D35" t="s">
        <v>71</v>
      </c>
      <c r="E35">
        <f t="shared" si="0"/>
        <v>27</v>
      </c>
      <c r="F35" t="s">
        <v>128</v>
      </c>
      <c r="G35" s="6">
        <f>ROUND(H35*5280/(60*60*5),0)-1</f>
        <v>3</v>
      </c>
      <c r="H35" s="6">
        <v>12.7</v>
      </c>
      <c r="I35" s="6">
        <v>2.2000000000000002</v>
      </c>
      <c r="K35">
        <v>5</v>
      </c>
      <c r="L35">
        <f>INDEX(Junctions!$L$7:$L$61,MATCH(Reaches!C35,Junctions!$B$7:$B$61,0))</f>
        <v>218000</v>
      </c>
    </row>
    <row r="36" spans="1:12" x14ac:dyDescent="0.25">
      <c r="A36">
        <v>28</v>
      </c>
      <c r="B36" t="s">
        <v>33</v>
      </c>
      <c r="C36" t="s">
        <v>71</v>
      </c>
      <c r="D36" t="s">
        <v>78</v>
      </c>
      <c r="E36">
        <f t="shared" si="0"/>
        <v>28</v>
      </c>
      <c r="F36" t="s">
        <v>128</v>
      </c>
      <c r="G36" s="6">
        <v>1</v>
      </c>
      <c r="H36" s="6">
        <v>11.7</v>
      </c>
      <c r="I36" s="6">
        <v>15.4</v>
      </c>
      <c r="K36">
        <v>5</v>
      </c>
      <c r="L36">
        <f>INDEX(Junctions!$L$7:$L$61,MATCH(Reaches!C36,Junctions!$B$7:$B$61,0))</f>
        <v>218000</v>
      </c>
    </row>
    <row r="37" spans="1:12" x14ac:dyDescent="0.25">
      <c r="A37">
        <v>29</v>
      </c>
      <c r="B37" t="s">
        <v>105</v>
      </c>
      <c r="C37" t="s">
        <v>74</v>
      </c>
      <c r="D37" t="s">
        <v>75</v>
      </c>
      <c r="E37">
        <f t="shared" si="0"/>
        <v>29</v>
      </c>
      <c r="F37" t="s">
        <v>128</v>
      </c>
      <c r="G37" s="6">
        <f>ROUND(H37*5280/(60*60*5),0)-1</f>
        <v>1</v>
      </c>
      <c r="H37" s="6">
        <v>5.6</v>
      </c>
      <c r="I37" s="6">
        <v>44.8</v>
      </c>
      <c r="J37" t="s">
        <v>136</v>
      </c>
      <c r="K37">
        <v>6</v>
      </c>
      <c r="L37">
        <f>INDEX(Junctions!$L$7:$L$61,MATCH(Reaches!C37,Junctions!$B$7:$B$61,0))</f>
        <v>25000</v>
      </c>
    </row>
    <row r="38" spans="1:12" x14ac:dyDescent="0.25">
      <c r="A38">
        <v>29.1</v>
      </c>
      <c r="B38" t="s">
        <v>264</v>
      </c>
      <c r="C38" t="s">
        <v>75</v>
      </c>
      <c r="D38" t="s">
        <v>76</v>
      </c>
      <c r="E38">
        <v>9929</v>
      </c>
      <c r="F38" t="s">
        <v>14</v>
      </c>
      <c r="G38">
        <v>1</v>
      </c>
      <c r="H38" s="6">
        <v>99</v>
      </c>
      <c r="I38" s="6">
        <v>99</v>
      </c>
      <c r="J38" t="s">
        <v>263</v>
      </c>
      <c r="K38">
        <v>1</v>
      </c>
    </row>
    <row r="39" spans="1:12" x14ac:dyDescent="0.25">
      <c r="A39">
        <v>30</v>
      </c>
      <c r="B39" t="s">
        <v>43</v>
      </c>
      <c r="C39" t="s">
        <v>76</v>
      </c>
      <c r="D39" t="s">
        <v>98</v>
      </c>
      <c r="E39">
        <f t="shared" si="0"/>
        <v>30</v>
      </c>
      <c r="F39" t="s">
        <v>128</v>
      </c>
      <c r="G39" s="6">
        <f>ROUND(H39*5280/(60*60*5),0)-1</f>
        <v>3</v>
      </c>
      <c r="H39" s="6">
        <v>14.4</v>
      </c>
      <c r="I39" s="6">
        <v>16.399999999999999</v>
      </c>
      <c r="J39" t="s">
        <v>94</v>
      </c>
      <c r="K39">
        <v>6</v>
      </c>
      <c r="L39">
        <f>INDEX(Junctions!$L$7:$L$61,MATCH(Reaches!C39,Junctions!$B$7:$B$61,0))</f>
        <v>81000</v>
      </c>
    </row>
    <row r="40" spans="1:12" x14ac:dyDescent="0.25">
      <c r="A40">
        <v>31</v>
      </c>
      <c r="B40" t="s">
        <v>17</v>
      </c>
      <c r="C40" t="s">
        <v>98</v>
      </c>
      <c r="D40" t="s">
        <v>248</v>
      </c>
      <c r="E40">
        <f t="shared" si="0"/>
        <v>31</v>
      </c>
      <c r="F40" t="s">
        <v>128</v>
      </c>
      <c r="G40" s="6">
        <f>ROUND(H40*5280/(60*60*5),0)-1</f>
        <v>5</v>
      </c>
      <c r="H40" s="6">
        <v>21.9</v>
      </c>
      <c r="I40" s="6">
        <v>38.799999999999997</v>
      </c>
      <c r="J40" t="s">
        <v>99</v>
      </c>
      <c r="K40">
        <v>6</v>
      </c>
      <c r="L40">
        <f>INDEX(Junctions!$L$7:$L$61,MATCH(Reaches!C40,Junctions!$B$7:$B$61,0))</f>
        <v>95200</v>
      </c>
    </row>
    <row r="41" spans="1:12" x14ac:dyDescent="0.25">
      <c r="A41">
        <v>31.1</v>
      </c>
      <c r="B41" t="s">
        <v>273</v>
      </c>
      <c r="C41" t="s">
        <v>72</v>
      </c>
      <c r="D41" t="s">
        <v>268</v>
      </c>
      <c r="E41">
        <v>9931</v>
      </c>
      <c r="F41" t="s">
        <v>14</v>
      </c>
      <c r="G41">
        <v>1</v>
      </c>
      <c r="H41" s="6">
        <v>99</v>
      </c>
      <c r="I41" s="6">
        <v>99</v>
      </c>
      <c r="J41" t="s">
        <v>263</v>
      </c>
      <c r="K41">
        <v>6</v>
      </c>
      <c r="L41">
        <f>L43</f>
        <v>41200</v>
      </c>
    </row>
    <row r="42" spans="1:12" x14ac:dyDescent="0.25">
      <c r="A42">
        <v>31.2</v>
      </c>
      <c r="B42" t="s">
        <v>272</v>
      </c>
      <c r="C42" t="s">
        <v>268</v>
      </c>
      <c r="D42" t="s">
        <v>266</v>
      </c>
      <c r="E42">
        <v>9932</v>
      </c>
      <c r="F42" t="s">
        <v>14</v>
      </c>
      <c r="G42">
        <v>1</v>
      </c>
      <c r="H42" s="6">
        <v>99</v>
      </c>
      <c r="I42" s="6">
        <v>99</v>
      </c>
      <c r="J42" t="s">
        <v>263</v>
      </c>
      <c r="K42">
        <v>6</v>
      </c>
      <c r="L42">
        <f>L43</f>
        <v>41200</v>
      </c>
    </row>
    <row r="43" spans="1:12" x14ac:dyDescent="0.25">
      <c r="A43">
        <v>32</v>
      </c>
      <c r="B43" t="s">
        <v>102</v>
      </c>
      <c r="C43" t="s">
        <v>266</v>
      </c>
      <c r="D43" t="s">
        <v>101</v>
      </c>
      <c r="E43">
        <f t="shared" si="0"/>
        <v>32</v>
      </c>
      <c r="F43" t="s">
        <v>128</v>
      </c>
      <c r="G43" s="6">
        <f>ROUND(H43*5280/(60*60*5),0)-1</f>
        <v>5</v>
      </c>
      <c r="H43" s="6">
        <v>19.3</v>
      </c>
      <c r="I43" s="6">
        <v>29.7</v>
      </c>
      <c r="J43" t="s">
        <v>94</v>
      </c>
      <c r="K43">
        <v>6</v>
      </c>
      <c r="L43">
        <f>INDEX(Junctions!$L$7:$L$61,MATCH(Reaches!C43,Junctions!$B$7:$B$61,0))</f>
        <v>41200</v>
      </c>
    </row>
    <row r="44" spans="1:12" x14ac:dyDescent="0.25">
      <c r="A44">
        <v>33</v>
      </c>
      <c r="B44" t="s">
        <v>15</v>
      </c>
      <c r="C44" t="s">
        <v>101</v>
      </c>
      <c r="D44" t="s">
        <v>73</v>
      </c>
      <c r="E44">
        <f t="shared" si="0"/>
        <v>33</v>
      </c>
      <c r="F44" t="s">
        <v>128</v>
      </c>
      <c r="G44" s="6">
        <f>ROUND(H44*5280/(60*60*5),0)-1</f>
        <v>6</v>
      </c>
      <c r="H44" s="6">
        <v>23.1</v>
      </c>
      <c r="I44" s="6">
        <v>41.6</v>
      </c>
      <c r="J44" t="s">
        <v>100</v>
      </c>
      <c r="K44">
        <v>6</v>
      </c>
      <c r="L44">
        <f>INDEX(Junctions!$L$7:$L$61,MATCH(Reaches!C44,Junctions!$B$7:$B$61,0))</f>
        <v>76600</v>
      </c>
    </row>
    <row r="45" spans="1:12" x14ac:dyDescent="0.25">
      <c r="A45">
        <v>34</v>
      </c>
      <c r="B45" t="s">
        <v>92</v>
      </c>
      <c r="C45" t="s">
        <v>73</v>
      </c>
      <c r="D45" t="s">
        <v>248</v>
      </c>
      <c r="E45">
        <f t="shared" si="0"/>
        <v>34</v>
      </c>
      <c r="F45" t="s">
        <v>128</v>
      </c>
      <c r="G45" s="6">
        <v>1</v>
      </c>
      <c r="H45" s="6">
        <v>3</v>
      </c>
      <c r="I45" s="6">
        <v>14.5</v>
      </c>
      <c r="J45" t="s">
        <v>91</v>
      </c>
      <c r="K45">
        <v>6</v>
      </c>
      <c r="L45">
        <f>INDEX(Junctions!$L$7:$L$61,MATCH(Reaches!C45,Junctions!$B$7:$B$61,0))</f>
        <v>76600</v>
      </c>
    </row>
    <row r="46" spans="1:12" x14ac:dyDescent="0.25">
      <c r="A46">
        <v>35</v>
      </c>
      <c r="B46" t="s">
        <v>249</v>
      </c>
      <c r="C46" t="s">
        <v>248</v>
      </c>
      <c r="D46" t="s">
        <v>77</v>
      </c>
      <c r="E46">
        <f t="shared" si="0"/>
        <v>35</v>
      </c>
      <c r="F46" t="s">
        <v>128</v>
      </c>
      <c r="G46">
        <v>1</v>
      </c>
      <c r="H46">
        <v>2.2000000000000002</v>
      </c>
      <c r="I46">
        <v>27.7</v>
      </c>
      <c r="J46" t="s">
        <v>91</v>
      </c>
      <c r="K46">
        <v>6</v>
      </c>
      <c r="L46">
        <f>L47</f>
        <v>197000</v>
      </c>
    </row>
    <row r="47" spans="1:12" x14ac:dyDescent="0.25">
      <c r="A47">
        <v>36</v>
      </c>
      <c r="B47" t="s">
        <v>12</v>
      </c>
      <c r="C47" t="s">
        <v>77</v>
      </c>
      <c r="D47" t="s">
        <v>78</v>
      </c>
      <c r="E47">
        <f t="shared" si="0"/>
        <v>36</v>
      </c>
      <c r="F47" t="s">
        <v>128</v>
      </c>
      <c r="G47" s="6">
        <f>ROUND(H47*5280/(60*60*5),0)-2</f>
        <v>2</v>
      </c>
      <c r="H47" s="6">
        <v>12.1</v>
      </c>
      <c r="I47" s="6">
        <v>27.7</v>
      </c>
      <c r="K47">
        <v>6</v>
      </c>
      <c r="L47">
        <f>INDEX(Junctions!$L$7:$L$61,MATCH(Reaches!C47,Junctions!$B$7:$B$61,0))</f>
        <v>197000</v>
      </c>
    </row>
    <row r="48" spans="1:12" x14ac:dyDescent="0.25">
      <c r="A48">
        <v>37</v>
      </c>
      <c r="B48" t="s">
        <v>10</v>
      </c>
      <c r="C48" t="s">
        <v>79</v>
      </c>
      <c r="D48" t="s">
        <v>78</v>
      </c>
      <c r="E48">
        <f t="shared" si="0"/>
        <v>37</v>
      </c>
      <c r="F48" t="s">
        <v>126</v>
      </c>
      <c r="G48" s="7">
        <v>2</v>
      </c>
      <c r="H48" s="6">
        <v>13.6</v>
      </c>
      <c r="I48" s="6">
        <v>1.8</v>
      </c>
      <c r="K48">
        <v>5</v>
      </c>
    </row>
    <row r="49" spans="1:12" x14ac:dyDescent="0.25">
      <c r="A49">
        <v>38</v>
      </c>
      <c r="B49" t="s">
        <v>31</v>
      </c>
      <c r="C49" t="s">
        <v>78</v>
      </c>
      <c r="D49" t="s">
        <v>80</v>
      </c>
      <c r="E49">
        <f t="shared" si="0"/>
        <v>38</v>
      </c>
      <c r="F49" t="s">
        <v>128</v>
      </c>
      <c r="G49" s="6">
        <v>2</v>
      </c>
      <c r="H49" s="6">
        <v>23.9</v>
      </c>
      <c r="I49" s="6">
        <v>15.7</v>
      </c>
      <c r="K49">
        <v>5</v>
      </c>
      <c r="L49">
        <f>INDEX(Junctions!$L$7:$L$61,MATCH(Reaches!C49,Junctions!$B$7:$B$61,0))</f>
        <v>308000</v>
      </c>
    </row>
    <row r="50" spans="1:12" x14ac:dyDescent="0.25">
      <c r="A50">
        <v>39</v>
      </c>
      <c r="B50" t="s">
        <v>30</v>
      </c>
      <c r="C50" t="s">
        <v>80</v>
      </c>
      <c r="D50" t="s">
        <v>274</v>
      </c>
      <c r="E50">
        <f t="shared" si="0"/>
        <v>39</v>
      </c>
      <c r="F50" t="s">
        <v>128</v>
      </c>
      <c r="G50" s="6">
        <f>ROUND(H50*5280/(60*60*5),0)-6</f>
        <v>4</v>
      </c>
      <c r="H50" s="6">
        <v>34.6</v>
      </c>
      <c r="I50" s="6">
        <v>2.4</v>
      </c>
      <c r="K50">
        <v>5</v>
      </c>
      <c r="L50">
        <f>INDEX(Junctions!$L$7:$L$61,MATCH(Reaches!C50,Junctions!$B$7:$B$61,0))</f>
        <v>308000</v>
      </c>
    </row>
    <row r="51" spans="1:12" x14ac:dyDescent="0.25">
      <c r="A51">
        <v>40</v>
      </c>
      <c r="B51" t="s">
        <v>25</v>
      </c>
      <c r="C51" t="s">
        <v>81</v>
      </c>
      <c r="D51" t="s">
        <v>274</v>
      </c>
      <c r="E51">
        <f t="shared" si="0"/>
        <v>40</v>
      </c>
      <c r="F51" t="s">
        <v>126</v>
      </c>
      <c r="G51" s="7">
        <v>2</v>
      </c>
      <c r="H51" s="6">
        <v>16.600000000000001</v>
      </c>
      <c r="I51" s="6">
        <v>1.5</v>
      </c>
      <c r="K51">
        <v>5</v>
      </c>
    </row>
    <row r="52" spans="1:12" x14ac:dyDescent="0.25">
      <c r="A52">
        <v>40.1</v>
      </c>
      <c r="B52" t="s">
        <v>275</v>
      </c>
      <c r="C52" t="s">
        <v>274</v>
      </c>
      <c r="D52" t="s">
        <v>82</v>
      </c>
      <c r="E52">
        <v>9940</v>
      </c>
      <c r="F52" t="s">
        <v>14</v>
      </c>
      <c r="G52">
        <v>1</v>
      </c>
      <c r="H52" s="6">
        <v>99</v>
      </c>
      <c r="I52" s="6">
        <v>99</v>
      </c>
      <c r="J52" t="s">
        <v>263</v>
      </c>
      <c r="K52">
        <v>5</v>
      </c>
    </row>
    <row r="53" spans="1:12" x14ac:dyDescent="0.25">
      <c r="A53">
        <v>41</v>
      </c>
      <c r="B53" t="s">
        <v>29</v>
      </c>
      <c r="C53" t="s">
        <v>82</v>
      </c>
      <c r="D53" t="s">
        <v>277</v>
      </c>
      <c r="E53">
        <f t="shared" si="0"/>
        <v>41</v>
      </c>
      <c r="F53" t="s">
        <v>128</v>
      </c>
      <c r="G53" s="6">
        <v>1</v>
      </c>
      <c r="H53" s="6">
        <v>14.4</v>
      </c>
      <c r="I53" s="6">
        <v>16.3</v>
      </c>
      <c r="K53">
        <v>5</v>
      </c>
      <c r="L53">
        <f>INDEX(Junctions!$L$7:$L$61,MATCH(Reaches!C53,Junctions!$B$7:$B$61,0))</f>
        <v>308000</v>
      </c>
    </row>
    <row r="54" spans="1:12" x14ac:dyDescent="0.25">
      <c r="A54">
        <v>41.1</v>
      </c>
      <c r="B54" t="s">
        <v>276</v>
      </c>
      <c r="C54" t="s">
        <v>277</v>
      </c>
      <c r="D54" t="s">
        <v>85</v>
      </c>
      <c r="E54">
        <v>9941</v>
      </c>
      <c r="F54" t="s">
        <v>14</v>
      </c>
      <c r="G54">
        <v>1</v>
      </c>
      <c r="H54" s="6">
        <v>99</v>
      </c>
      <c r="I54" s="6">
        <v>99</v>
      </c>
      <c r="J54" t="s">
        <v>263</v>
      </c>
      <c r="K54">
        <v>5</v>
      </c>
    </row>
    <row r="55" spans="1:12" x14ac:dyDescent="0.25">
      <c r="A55">
        <v>42</v>
      </c>
      <c r="B55" t="s">
        <v>28</v>
      </c>
      <c r="C55" t="s">
        <v>83</v>
      </c>
      <c r="D55" t="s">
        <v>85</v>
      </c>
      <c r="E55">
        <f t="shared" si="0"/>
        <v>42</v>
      </c>
      <c r="F55" t="s">
        <v>126</v>
      </c>
      <c r="G55" s="6">
        <v>1</v>
      </c>
      <c r="H55" s="8">
        <v>6</v>
      </c>
      <c r="I55" s="6">
        <f>ROUND((90-77)/H55,1)</f>
        <v>2.2000000000000002</v>
      </c>
      <c r="K55">
        <v>5</v>
      </c>
    </row>
    <row r="56" spans="1:12" x14ac:dyDescent="0.25">
      <c r="A56">
        <v>43</v>
      </c>
      <c r="B56" t="s">
        <v>27</v>
      </c>
      <c r="C56" t="s">
        <v>84</v>
      </c>
      <c r="D56" t="s">
        <v>85</v>
      </c>
      <c r="E56">
        <f t="shared" si="0"/>
        <v>43</v>
      </c>
      <c r="F56" t="s">
        <v>126</v>
      </c>
      <c r="G56" s="6">
        <v>1</v>
      </c>
      <c r="H56" s="8">
        <v>4.7</v>
      </c>
      <c r="I56" s="6">
        <f>ROUND((110-77)/H56,1)</f>
        <v>7</v>
      </c>
      <c r="K56">
        <v>5</v>
      </c>
    </row>
    <row r="57" spans="1:12" x14ac:dyDescent="0.25">
      <c r="A57">
        <v>44</v>
      </c>
      <c r="B57" t="s">
        <v>26</v>
      </c>
      <c r="C57" t="s">
        <v>85</v>
      </c>
      <c r="D57" t="s">
        <v>88</v>
      </c>
      <c r="E57">
        <f t="shared" si="0"/>
        <v>44</v>
      </c>
      <c r="F57" t="s">
        <v>128</v>
      </c>
      <c r="G57" s="6">
        <v>1</v>
      </c>
      <c r="H57" s="6">
        <v>8.8000000000000007</v>
      </c>
      <c r="I57" s="6">
        <v>0.3</v>
      </c>
      <c r="K57">
        <v>5</v>
      </c>
      <c r="L57">
        <f>INDEX(Junctions!$L$7:$L$61,MATCH(Reaches!C57,Junctions!$B$7:$B$61,0))</f>
        <v>308000</v>
      </c>
    </row>
    <row r="58" spans="1:12" x14ac:dyDescent="0.25">
      <c r="A58">
        <v>45</v>
      </c>
      <c r="B58" t="s">
        <v>20</v>
      </c>
      <c r="C58" t="s">
        <v>86</v>
      </c>
      <c r="D58" t="s">
        <v>87</v>
      </c>
      <c r="E58">
        <f t="shared" si="0"/>
        <v>45</v>
      </c>
      <c r="F58" t="s">
        <v>126</v>
      </c>
      <c r="G58" s="7">
        <v>3</v>
      </c>
      <c r="H58" s="6">
        <v>12.2</v>
      </c>
      <c r="I58" s="8">
        <f>(165-127)/H58</f>
        <v>3.1147540983606561</v>
      </c>
      <c r="K58">
        <v>5</v>
      </c>
    </row>
    <row r="59" spans="1:12" x14ac:dyDescent="0.25">
      <c r="A59">
        <v>46</v>
      </c>
      <c r="B59" t="s">
        <v>24</v>
      </c>
      <c r="C59" t="s">
        <v>87</v>
      </c>
      <c r="D59" t="s">
        <v>148</v>
      </c>
      <c r="E59">
        <f t="shared" si="0"/>
        <v>46</v>
      </c>
      <c r="F59" t="s">
        <v>126</v>
      </c>
      <c r="G59" s="7">
        <v>12</v>
      </c>
      <c r="H59" s="6">
        <v>38.9</v>
      </c>
      <c r="I59" s="8">
        <f>(127-100)/H59</f>
        <v>0.6940874035989717</v>
      </c>
      <c r="K59">
        <v>5</v>
      </c>
    </row>
    <row r="60" spans="1:12" x14ac:dyDescent="0.25">
      <c r="A60">
        <v>47</v>
      </c>
      <c r="B60" t="s">
        <v>103</v>
      </c>
      <c r="C60" t="s">
        <v>148</v>
      </c>
      <c r="D60" t="s">
        <v>88</v>
      </c>
      <c r="E60">
        <f t="shared" si="0"/>
        <v>47</v>
      </c>
      <c r="F60" t="s">
        <v>14</v>
      </c>
      <c r="G60" s="6">
        <v>0</v>
      </c>
      <c r="H60" s="6">
        <v>1</v>
      </c>
      <c r="I60" s="6">
        <v>0</v>
      </c>
      <c r="J60" t="s">
        <v>91</v>
      </c>
      <c r="K60">
        <v>5</v>
      </c>
    </row>
  </sheetData>
  <autoFilter ref="A6:L60" xr:uid="{B20CD336-60F8-475B-8583-0B5973D494B1}">
    <sortState xmlns:xlrd2="http://schemas.microsoft.com/office/spreadsheetml/2017/richdata2" ref="A7:L60">
      <sortCondition ref="A6:A60"/>
    </sortState>
  </autoFilter>
  <pageMargins left="0.7" right="0.7" top="0.75" bottom="0.75" header="0.3" footer="0.3"/>
  <pageSetup orientation="portrait" horizontalDpi="90" verticalDpi="9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13AE4-F32C-472A-AB74-9A2ECECC4051}">
  <sheetPr codeName="Sheet4"/>
  <dimension ref="A1:L61"/>
  <sheetViews>
    <sheetView workbookViewId="0">
      <pane xSplit="2" ySplit="6" topLeftCell="C7" activePane="bottomRight" state="frozen"/>
      <selection pane="topRight" activeCell="C1" sqref="C1"/>
      <selection pane="bottomLeft" activeCell="A7" sqref="A7"/>
      <selection pane="bottomRight" activeCell="C17" sqref="C17"/>
    </sheetView>
  </sheetViews>
  <sheetFormatPr defaultRowHeight="15" x14ac:dyDescent="0.25"/>
  <cols>
    <col min="2" max="3" width="25.85546875" customWidth="1"/>
    <col min="4" max="4" width="8.7109375" bestFit="1" customWidth="1"/>
    <col min="5" max="5" width="25.85546875" customWidth="1"/>
    <col min="6" max="6" width="15.5703125" customWidth="1"/>
    <col min="7" max="10" width="35.28515625" customWidth="1"/>
  </cols>
  <sheetData>
    <row r="1" spans="1:12" x14ac:dyDescent="0.25">
      <c r="A1" t="s">
        <v>117</v>
      </c>
    </row>
    <row r="2" spans="1:12" x14ac:dyDescent="0.25">
      <c r="A2" t="s">
        <v>144</v>
      </c>
    </row>
    <row r="4" spans="1:12" x14ac:dyDescent="0.25">
      <c r="E4" t="s">
        <v>108</v>
      </c>
      <c r="F4" t="s">
        <v>113</v>
      </c>
      <c r="H4" t="s">
        <v>132</v>
      </c>
      <c r="I4" t="s">
        <v>132</v>
      </c>
      <c r="J4" t="s">
        <v>132</v>
      </c>
    </row>
    <row r="5" spans="1:12" x14ac:dyDescent="0.25">
      <c r="F5" t="s">
        <v>112</v>
      </c>
      <c r="G5" t="s">
        <v>131</v>
      </c>
      <c r="H5" t="s">
        <v>131</v>
      </c>
      <c r="I5" t="s">
        <v>131</v>
      </c>
      <c r="J5" t="s">
        <v>131</v>
      </c>
    </row>
    <row r="6" spans="1:12" x14ac:dyDescent="0.25">
      <c r="A6" t="s">
        <v>41</v>
      </c>
      <c r="B6" t="s">
        <v>114</v>
      </c>
      <c r="C6" t="s">
        <v>250</v>
      </c>
      <c r="D6" t="s">
        <v>142</v>
      </c>
      <c r="E6" t="s">
        <v>107</v>
      </c>
      <c r="F6" t="s">
        <v>111</v>
      </c>
      <c r="G6" t="s">
        <v>118</v>
      </c>
      <c r="H6" t="s">
        <v>133</v>
      </c>
      <c r="I6" t="s">
        <v>134</v>
      </c>
      <c r="J6" t="s">
        <v>135</v>
      </c>
      <c r="K6" t="s">
        <v>42</v>
      </c>
      <c r="L6" t="s">
        <v>220</v>
      </c>
    </row>
    <row r="7" spans="1:12" x14ac:dyDescent="0.25">
      <c r="A7">
        <v>1</v>
      </c>
      <c r="B7" t="s">
        <v>44</v>
      </c>
      <c r="C7" s="9" t="s">
        <v>252</v>
      </c>
      <c r="D7">
        <v>1532.5767822</v>
      </c>
      <c r="E7" t="s">
        <v>110</v>
      </c>
      <c r="F7" t="s">
        <v>109</v>
      </c>
      <c r="G7" s="1" t="s">
        <v>151</v>
      </c>
      <c r="L7">
        <v>34000</v>
      </c>
    </row>
    <row r="8" spans="1:12" x14ac:dyDescent="0.25">
      <c r="A8">
        <v>2</v>
      </c>
      <c r="B8" t="s">
        <v>45</v>
      </c>
      <c r="D8">
        <v>1032.5413818</v>
      </c>
      <c r="E8" t="s">
        <v>110</v>
      </c>
      <c r="F8" t="s">
        <v>110</v>
      </c>
      <c r="L8">
        <v>81800</v>
      </c>
    </row>
    <row r="9" spans="1:12" x14ac:dyDescent="0.25">
      <c r="A9">
        <v>3</v>
      </c>
      <c r="B9" t="s">
        <v>46</v>
      </c>
      <c r="C9" s="9" t="s">
        <v>251</v>
      </c>
      <c r="D9">
        <v>958.37115478999999</v>
      </c>
      <c r="E9" t="s">
        <v>109</v>
      </c>
      <c r="F9" t="s">
        <v>110</v>
      </c>
      <c r="G9" t="s">
        <v>152</v>
      </c>
      <c r="H9" t="s">
        <v>186</v>
      </c>
      <c r="I9" t="s">
        <v>210</v>
      </c>
      <c r="J9" t="s">
        <v>222</v>
      </c>
      <c r="L9">
        <v>81800</v>
      </c>
    </row>
    <row r="10" spans="1:12" x14ac:dyDescent="0.25">
      <c r="A10">
        <v>4</v>
      </c>
      <c r="B10" t="s">
        <v>47</v>
      </c>
      <c r="C10" t="s">
        <v>253</v>
      </c>
      <c r="D10">
        <v>890.44665526999995</v>
      </c>
      <c r="E10" t="s">
        <v>110</v>
      </c>
      <c r="F10" t="s">
        <v>110</v>
      </c>
      <c r="G10" s="1"/>
      <c r="J10" t="s">
        <v>223</v>
      </c>
      <c r="L10">
        <v>81800</v>
      </c>
    </row>
    <row r="11" spans="1:12" x14ac:dyDescent="0.25">
      <c r="A11">
        <v>4.0999999999999996</v>
      </c>
      <c r="B11" t="s">
        <v>265</v>
      </c>
      <c r="C11" t="s">
        <v>265</v>
      </c>
      <c r="D11">
        <v>670.92578125</v>
      </c>
      <c r="E11" t="s">
        <v>110</v>
      </c>
      <c r="F11" t="s">
        <v>110</v>
      </c>
      <c r="G11" s="1"/>
      <c r="L11">
        <v>81800</v>
      </c>
    </row>
    <row r="12" spans="1:12" x14ac:dyDescent="0.25">
      <c r="A12">
        <v>5</v>
      </c>
      <c r="B12" t="s">
        <v>48</v>
      </c>
      <c r="C12" t="s">
        <v>48</v>
      </c>
      <c r="D12">
        <v>670.92578125</v>
      </c>
      <c r="E12" t="s">
        <v>110</v>
      </c>
      <c r="F12" t="s">
        <v>109</v>
      </c>
      <c r="G12" s="1" t="s">
        <v>153</v>
      </c>
      <c r="L12">
        <v>81800</v>
      </c>
    </row>
    <row r="13" spans="1:12" x14ac:dyDescent="0.25">
      <c r="A13">
        <v>6</v>
      </c>
      <c r="B13" t="s">
        <v>49</v>
      </c>
      <c r="C13" t="s">
        <v>254</v>
      </c>
      <c r="D13">
        <v>819.92633057</v>
      </c>
      <c r="E13" t="s">
        <v>110</v>
      </c>
      <c r="F13" t="s">
        <v>109</v>
      </c>
      <c r="G13" s="1" t="s">
        <v>154</v>
      </c>
      <c r="L13">
        <v>24700</v>
      </c>
    </row>
    <row r="14" spans="1:12" x14ac:dyDescent="0.25">
      <c r="A14">
        <v>7</v>
      </c>
      <c r="B14" t="s">
        <v>50</v>
      </c>
      <c r="D14">
        <v>560.97253418000003</v>
      </c>
      <c r="E14" t="s">
        <v>110</v>
      </c>
      <c r="F14" t="s">
        <v>110</v>
      </c>
      <c r="L14">
        <v>73400</v>
      </c>
    </row>
    <row r="15" spans="1:12" x14ac:dyDescent="0.25">
      <c r="A15">
        <v>8</v>
      </c>
      <c r="B15" t="s">
        <v>51</v>
      </c>
      <c r="C15" t="s">
        <v>51</v>
      </c>
      <c r="D15">
        <v>521.28063965000001</v>
      </c>
      <c r="E15" t="s">
        <v>109</v>
      </c>
      <c r="F15" t="s">
        <v>109</v>
      </c>
      <c r="G15" t="s">
        <v>155</v>
      </c>
      <c r="H15" t="s">
        <v>187</v>
      </c>
      <c r="I15" t="s">
        <v>207</v>
      </c>
      <c r="J15" t="s">
        <v>224</v>
      </c>
      <c r="L15">
        <v>73400</v>
      </c>
    </row>
    <row r="16" spans="1:12" x14ac:dyDescent="0.25">
      <c r="A16">
        <v>9</v>
      </c>
      <c r="B16" t="s">
        <v>52</v>
      </c>
      <c r="C16" t="s">
        <v>52</v>
      </c>
      <c r="D16">
        <v>810.41320800999995</v>
      </c>
      <c r="E16" t="s">
        <v>110</v>
      </c>
      <c r="F16" t="s">
        <v>109</v>
      </c>
      <c r="G16" t="s">
        <v>157</v>
      </c>
      <c r="L16">
        <v>21400</v>
      </c>
    </row>
    <row r="17" spans="1:12" x14ac:dyDescent="0.25">
      <c r="A17">
        <v>10</v>
      </c>
      <c r="B17" t="s">
        <v>53</v>
      </c>
      <c r="C17" t="s">
        <v>255</v>
      </c>
      <c r="D17">
        <v>797.52966308999999</v>
      </c>
      <c r="E17" t="s">
        <v>110</v>
      </c>
      <c r="F17" t="s">
        <v>109</v>
      </c>
      <c r="G17" t="s">
        <v>156</v>
      </c>
      <c r="L17">
        <v>12000</v>
      </c>
    </row>
    <row r="18" spans="1:12" x14ac:dyDescent="0.25">
      <c r="A18">
        <v>11</v>
      </c>
      <c r="B18" t="s">
        <v>54</v>
      </c>
      <c r="D18">
        <v>614.83782958999996</v>
      </c>
      <c r="E18" t="s">
        <v>110</v>
      </c>
      <c r="F18" t="s">
        <v>110</v>
      </c>
      <c r="G18" t="s">
        <v>159</v>
      </c>
      <c r="H18" t="s">
        <v>188</v>
      </c>
      <c r="I18" t="s">
        <v>211</v>
      </c>
      <c r="J18" t="s">
        <v>225</v>
      </c>
      <c r="K18" t="s">
        <v>149</v>
      </c>
      <c r="L18">
        <v>33400</v>
      </c>
    </row>
    <row r="19" spans="1:12" x14ac:dyDescent="0.25">
      <c r="A19">
        <v>12</v>
      </c>
      <c r="B19" t="s">
        <v>55</v>
      </c>
      <c r="C19" t="s">
        <v>55</v>
      </c>
      <c r="D19">
        <v>480.49130249000001</v>
      </c>
      <c r="E19" t="s">
        <v>109</v>
      </c>
      <c r="F19" t="s">
        <v>109</v>
      </c>
      <c r="G19" t="s">
        <v>158</v>
      </c>
      <c r="H19" t="s">
        <v>189</v>
      </c>
      <c r="I19" t="s">
        <v>205</v>
      </c>
      <c r="J19" t="s">
        <v>226</v>
      </c>
      <c r="L19">
        <v>33400</v>
      </c>
    </row>
    <row r="20" spans="1:12" x14ac:dyDescent="0.25">
      <c r="A20">
        <v>13</v>
      </c>
      <c r="B20" t="s">
        <v>56</v>
      </c>
      <c r="D20">
        <v>440.13223267000001</v>
      </c>
      <c r="E20" t="s">
        <v>110</v>
      </c>
      <c r="F20" t="s">
        <v>110</v>
      </c>
      <c r="L20">
        <v>140000</v>
      </c>
    </row>
    <row r="21" spans="1:12" x14ac:dyDescent="0.25">
      <c r="A21">
        <v>14</v>
      </c>
      <c r="B21" t="s">
        <v>58</v>
      </c>
      <c r="C21" t="s">
        <v>256</v>
      </c>
      <c r="D21">
        <v>1994.9755858999999</v>
      </c>
      <c r="E21" t="s">
        <v>110</v>
      </c>
      <c r="F21" t="s">
        <v>109</v>
      </c>
      <c r="G21" t="s">
        <v>160</v>
      </c>
      <c r="L21">
        <v>11200</v>
      </c>
    </row>
    <row r="22" spans="1:12" x14ac:dyDescent="0.25">
      <c r="A22">
        <v>15</v>
      </c>
      <c r="B22" t="s">
        <v>57</v>
      </c>
      <c r="C22" t="s">
        <v>57</v>
      </c>
      <c r="D22">
        <v>1688.4770507999999</v>
      </c>
      <c r="E22" t="s">
        <v>110</v>
      </c>
      <c r="F22" t="s">
        <v>109</v>
      </c>
      <c r="G22" t="s">
        <v>161</v>
      </c>
      <c r="L22">
        <v>24500</v>
      </c>
    </row>
    <row r="23" spans="1:12" x14ac:dyDescent="0.25">
      <c r="A23">
        <v>16</v>
      </c>
      <c r="B23" t="s">
        <v>59</v>
      </c>
      <c r="D23">
        <v>1092.1049805</v>
      </c>
      <c r="E23" t="s">
        <v>110</v>
      </c>
      <c r="F23" t="s">
        <v>110</v>
      </c>
      <c r="L23">
        <v>35700</v>
      </c>
    </row>
    <row r="24" spans="1:12" x14ac:dyDescent="0.25">
      <c r="A24">
        <v>17</v>
      </c>
      <c r="B24" t="s">
        <v>60</v>
      </c>
      <c r="C24" t="s">
        <v>257</v>
      </c>
      <c r="D24">
        <v>1325.5300293</v>
      </c>
      <c r="E24" t="s">
        <v>110</v>
      </c>
      <c r="F24" t="s">
        <v>109</v>
      </c>
      <c r="G24" t="s">
        <v>162</v>
      </c>
      <c r="L24">
        <v>20000</v>
      </c>
    </row>
    <row r="25" spans="1:12" x14ac:dyDescent="0.25">
      <c r="A25">
        <v>18</v>
      </c>
      <c r="B25" t="s">
        <v>61</v>
      </c>
      <c r="D25">
        <v>1030.0883789</v>
      </c>
      <c r="E25" t="s">
        <v>110</v>
      </c>
      <c r="F25" t="s">
        <v>110</v>
      </c>
      <c r="L25">
        <v>55700</v>
      </c>
    </row>
    <row r="26" spans="1:12" x14ac:dyDescent="0.25">
      <c r="A26">
        <v>19</v>
      </c>
      <c r="B26" t="s">
        <v>62</v>
      </c>
      <c r="C26" t="s">
        <v>62</v>
      </c>
      <c r="D26">
        <v>901.06152343999997</v>
      </c>
      <c r="E26" t="s">
        <v>109</v>
      </c>
      <c r="F26" t="s">
        <v>109</v>
      </c>
      <c r="G26" t="s">
        <v>163</v>
      </c>
      <c r="H26" t="s">
        <v>190</v>
      </c>
      <c r="I26" t="s">
        <v>213</v>
      </c>
      <c r="J26" t="s">
        <v>229</v>
      </c>
      <c r="L26">
        <v>64400</v>
      </c>
    </row>
    <row r="27" spans="1:12" x14ac:dyDescent="0.25">
      <c r="A27">
        <v>20</v>
      </c>
      <c r="B27" t="s">
        <v>95</v>
      </c>
      <c r="C27" t="s">
        <v>95</v>
      </c>
      <c r="D27">
        <v>597.54858397999999</v>
      </c>
      <c r="E27" t="s">
        <v>110</v>
      </c>
      <c r="F27" t="s">
        <v>110</v>
      </c>
      <c r="K27" t="s">
        <v>106</v>
      </c>
      <c r="L27">
        <v>76300</v>
      </c>
    </row>
    <row r="28" spans="1:12" x14ac:dyDescent="0.25">
      <c r="A28">
        <v>21</v>
      </c>
      <c r="B28" t="s">
        <v>63</v>
      </c>
      <c r="C28" t="s">
        <v>63</v>
      </c>
      <c r="D28">
        <v>399.25814818999999</v>
      </c>
      <c r="E28" t="s">
        <v>109</v>
      </c>
      <c r="F28" t="s">
        <v>110</v>
      </c>
      <c r="G28" t="s">
        <v>164</v>
      </c>
      <c r="H28" t="s">
        <v>219</v>
      </c>
      <c r="I28" t="s">
        <v>202</v>
      </c>
      <c r="J28" t="s">
        <v>230</v>
      </c>
      <c r="L28">
        <v>88200</v>
      </c>
    </row>
    <row r="29" spans="1:12" x14ac:dyDescent="0.25">
      <c r="A29">
        <v>22</v>
      </c>
      <c r="B29" t="s">
        <v>64</v>
      </c>
      <c r="D29">
        <v>369.28656006</v>
      </c>
      <c r="E29" t="s">
        <v>110</v>
      </c>
      <c r="F29" t="s">
        <v>110</v>
      </c>
      <c r="L29">
        <v>210000</v>
      </c>
    </row>
    <row r="30" spans="1:12" x14ac:dyDescent="0.25">
      <c r="A30">
        <v>23</v>
      </c>
      <c r="B30" t="s">
        <v>65</v>
      </c>
      <c r="C30" t="s">
        <v>65</v>
      </c>
      <c r="D30">
        <v>312.26538085999999</v>
      </c>
      <c r="E30" t="s">
        <v>109</v>
      </c>
      <c r="F30" t="s">
        <v>109</v>
      </c>
      <c r="G30" t="s">
        <v>165</v>
      </c>
      <c r="H30" t="s">
        <v>191</v>
      </c>
      <c r="I30" t="s">
        <v>206</v>
      </c>
      <c r="J30" t="s">
        <v>231</v>
      </c>
      <c r="L30">
        <v>210000</v>
      </c>
    </row>
    <row r="31" spans="1:12" x14ac:dyDescent="0.25">
      <c r="A31">
        <v>24</v>
      </c>
      <c r="B31" t="s">
        <v>66</v>
      </c>
      <c r="C31" t="s">
        <v>258</v>
      </c>
      <c r="D31">
        <v>350.02636718999997</v>
      </c>
      <c r="E31" t="s">
        <v>110</v>
      </c>
      <c r="F31" t="s">
        <v>109</v>
      </c>
      <c r="G31" t="s">
        <v>166</v>
      </c>
      <c r="L31">
        <v>11500</v>
      </c>
    </row>
    <row r="32" spans="1:12" x14ac:dyDescent="0.25">
      <c r="A32">
        <v>25</v>
      </c>
      <c r="B32" t="s">
        <v>67</v>
      </c>
      <c r="C32" t="s">
        <v>67</v>
      </c>
      <c r="D32">
        <v>284.66030884000003</v>
      </c>
      <c r="E32" t="s">
        <v>109</v>
      </c>
      <c r="F32" t="s">
        <v>110</v>
      </c>
      <c r="G32" t="s">
        <v>167</v>
      </c>
      <c r="H32" t="s">
        <v>192</v>
      </c>
      <c r="I32" t="s">
        <v>208</v>
      </c>
      <c r="J32" t="s">
        <v>232</v>
      </c>
      <c r="L32">
        <v>19300</v>
      </c>
    </row>
    <row r="33" spans="1:12" x14ac:dyDescent="0.25">
      <c r="A33">
        <v>26</v>
      </c>
      <c r="B33" t="s">
        <v>68</v>
      </c>
      <c r="D33">
        <v>250.01043701</v>
      </c>
      <c r="E33" t="s">
        <v>110</v>
      </c>
      <c r="F33" t="s">
        <v>110</v>
      </c>
      <c r="L33">
        <v>218000</v>
      </c>
    </row>
    <row r="34" spans="1:12" x14ac:dyDescent="0.25">
      <c r="A34">
        <v>27</v>
      </c>
      <c r="B34" t="s">
        <v>69</v>
      </c>
      <c r="C34" t="s">
        <v>69</v>
      </c>
      <c r="D34">
        <v>241.81632995999999</v>
      </c>
      <c r="E34" t="s">
        <v>110</v>
      </c>
      <c r="F34" t="s">
        <v>110</v>
      </c>
      <c r="G34" t="s">
        <v>168</v>
      </c>
    </row>
    <row r="35" spans="1:12" x14ac:dyDescent="0.25">
      <c r="A35">
        <v>28</v>
      </c>
      <c r="B35" t="s">
        <v>70</v>
      </c>
      <c r="C35" t="s">
        <v>70</v>
      </c>
      <c r="D35">
        <v>196.44837952</v>
      </c>
      <c r="E35" t="s">
        <v>109</v>
      </c>
      <c r="F35" t="s">
        <v>110</v>
      </c>
      <c r="G35" t="s">
        <v>169</v>
      </c>
      <c r="I35" t="s">
        <v>203</v>
      </c>
      <c r="J35" t="s">
        <v>233</v>
      </c>
      <c r="L35">
        <v>218000</v>
      </c>
    </row>
    <row r="36" spans="1:12" x14ac:dyDescent="0.25">
      <c r="A36">
        <v>29</v>
      </c>
      <c r="B36" t="s">
        <v>71</v>
      </c>
      <c r="C36" t="s">
        <v>71</v>
      </c>
      <c r="D36">
        <v>173.72790527000001</v>
      </c>
      <c r="E36" t="s">
        <v>109</v>
      </c>
      <c r="F36" t="s">
        <v>109</v>
      </c>
      <c r="G36" t="s">
        <v>170</v>
      </c>
      <c r="H36" t="s">
        <v>193</v>
      </c>
      <c r="I36" t="s">
        <v>201</v>
      </c>
      <c r="J36" t="s">
        <v>234</v>
      </c>
      <c r="L36">
        <v>218000</v>
      </c>
    </row>
    <row r="37" spans="1:12" x14ac:dyDescent="0.25">
      <c r="A37">
        <v>30</v>
      </c>
      <c r="B37" t="s">
        <v>74</v>
      </c>
      <c r="C37" t="s">
        <v>259</v>
      </c>
      <c r="D37">
        <v>868.85797118999994</v>
      </c>
      <c r="E37" t="s">
        <v>110</v>
      </c>
      <c r="F37" t="s">
        <v>109</v>
      </c>
      <c r="G37" t="s">
        <v>185</v>
      </c>
      <c r="L37">
        <v>25000</v>
      </c>
    </row>
    <row r="38" spans="1:12" x14ac:dyDescent="0.25">
      <c r="A38">
        <v>31</v>
      </c>
      <c r="B38" t="s">
        <v>75</v>
      </c>
      <c r="C38" t="s">
        <v>75</v>
      </c>
      <c r="D38">
        <v>620</v>
      </c>
      <c r="E38" t="s">
        <v>110</v>
      </c>
      <c r="F38" t="s">
        <v>110</v>
      </c>
      <c r="H38" t="s">
        <v>194</v>
      </c>
      <c r="I38" t="s">
        <v>204</v>
      </c>
      <c r="J38" t="s">
        <v>236</v>
      </c>
      <c r="L38">
        <v>81000</v>
      </c>
    </row>
    <row r="39" spans="1:12" x14ac:dyDescent="0.25">
      <c r="A39">
        <v>32</v>
      </c>
      <c r="B39" t="s">
        <v>76</v>
      </c>
      <c r="C39" t="s">
        <v>76</v>
      </c>
      <c r="D39">
        <v>631.74554443</v>
      </c>
      <c r="E39" t="s">
        <v>110</v>
      </c>
      <c r="F39" t="s">
        <v>109</v>
      </c>
      <c r="G39" t="s">
        <v>171</v>
      </c>
      <c r="L39">
        <v>81000</v>
      </c>
    </row>
    <row r="40" spans="1:12" x14ac:dyDescent="0.25">
      <c r="A40">
        <v>33</v>
      </c>
      <c r="B40" t="s">
        <v>98</v>
      </c>
      <c r="C40" t="s">
        <v>98</v>
      </c>
      <c r="D40">
        <v>395.65560913000002</v>
      </c>
      <c r="E40" t="s">
        <v>109</v>
      </c>
      <c r="F40" t="s">
        <v>109</v>
      </c>
      <c r="G40" t="s">
        <v>172</v>
      </c>
      <c r="H40" t="s">
        <v>195</v>
      </c>
      <c r="J40" t="s">
        <v>237</v>
      </c>
      <c r="L40">
        <v>95200</v>
      </c>
    </row>
    <row r="41" spans="1:12" x14ac:dyDescent="0.25">
      <c r="A41">
        <v>33.1</v>
      </c>
      <c r="B41" t="s">
        <v>72</v>
      </c>
      <c r="C41" t="s">
        <v>72</v>
      </c>
      <c r="D41">
        <v>1187.8538818</v>
      </c>
      <c r="E41" t="s">
        <v>110</v>
      </c>
      <c r="F41" t="s">
        <v>110</v>
      </c>
      <c r="L41">
        <v>41200</v>
      </c>
    </row>
    <row r="42" spans="1:12" x14ac:dyDescent="0.25">
      <c r="A42">
        <v>33.200000000000003</v>
      </c>
      <c r="B42" t="s">
        <v>268</v>
      </c>
      <c r="C42" t="s">
        <v>269</v>
      </c>
      <c r="D42">
        <v>1187.8538818</v>
      </c>
      <c r="E42" t="s">
        <v>110</v>
      </c>
      <c r="F42" t="s">
        <v>110</v>
      </c>
      <c r="L42">
        <v>41200</v>
      </c>
    </row>
    <row r="43" spans="1:12" x14ac:dyDescent="0.25">
      <c r="A43">
        <v>34</v>
      </c>
      <c r="B43" t="s">
        <v>266</v>
      </c>
      <c r="C43" t="s">
        <v>267</v>
      </c>
      <c r="D43">
        <v>1187.8538818</v>
      </c>
      <c r="E43" t="s">
        <v>110</v>
      </c>
      <c r="F43" t="s">
        <v>109</v>
      </c>
      <c r="G43" t="s">
        <v>173</v>
      </c>
      <c r="L43">
        <v>41200</v>
      </c>
    </row>
    <row r="44" spans="1:12" x14ac:dyDescent="0.25">
      <c r="A44">
        <v>35</v>
      </c>
      <c r="B44" t="s">
        <v>101</v>
      </c>
      <c r="C44" t="s">
        <v>101</v>
      </c>
      <c r="D44">
        <v>616.05841064000003</v>
      </c>
      <c r="E44" t="s">
        <v>109</v>
      </c>
      <c r="F44" t="s">
        <v>109</v>
      </c>
      <c r="G44" t="s">
        <v>174</v>
      </c>
      <c r="H44" t="s">
        <v>196</v>
      </c>
      <c r="J44" t="s">
        <v>238</v>
      </c>
      <c r="L44">
        <v>76600</v>
      </c>
    </row>
    <row r="45" spans="1:12" x14ac:dyDescent="0.25">
      <c r="A45">
        <v>36</v>
      </c>
      <c r="B45" t="s">
        <v>73</v>
      </c>
      <c r="C45" t="s">
        <v>260</v>
      </c>
      <c r="D45">
        <v>250.58082580999999</v>
      </c>
      <c r="E45" t="s">
        <v>109</v>
      </c>
      <c r="F45" t="s">
        <v>110</v>
      </c>
      <c r="G45" t="s">
        <v>175</v>
      </c>
      <c r="H45" t="s">
        <v>218</v>
      </c>
      <c r="J45" t="s">
        <v>239</v>
      </c>
      <c r="L45">
        <v>76600</v>
      </c>
    </row>
    <row r="46" spans="1:12" x14ac:dyDescent="0.25">
      <c r="A46">
        <v>37</v>
      </c>
      <c r="B46" t="s">
        <v>248</v>
      </c>
      <c r="D46">
        <v>216</v>
      </c>
      <c r="E46" t="s">
        <v>110</v>
      </c>
      <c r="F46" t="s">
        <v>110</v>
      </c>
    </row>
    <row r="47" spans="1:12" x14ac:dyDescent="0.25">
      <c r="A47">
        <v>38</v>
      </c>
      <c r="B47" t="s">
        <v>77</v>
      </c>
      <c r="C47" t="s">
        <v>77</v>
      </c>
      <c r="D47">
        <v>207.00160217000001</v>
      </c>
      <c r="E47" t="s">
        <v>109</v>
      </c>
      <c r="F47" t="s">
        <v>109</v>
      </c>
      <c r="G47" t="s">
        <v>176</v>
      </c>
      <c r="H47" t="s">
        <v>197</v>
      </c>
      <c r="J47" t="s">
        <v>240</v>
      </c>
      <c r="L47">
        <v>197000</v>
      </c>
    </row>
    <row r="48" spans="1:12" x14ac:dyDescent="0.25">
      <c r="A48">
        <v>39</v>
      </c>
      <c r="B48" t="s">
        <v>79</v>
      </c>
      <c r="C48" t="s">
        <v>79</v>
      </c>
      <c r="D48">
        <v>192.79573059000001</v>
      </c>
      <c r="E48" t="s">
        <v>110</v>
      </c>
      <c r="F48" t="s">
        <v>110</v>
      </c>
      <c r="G48" t="s">
        <v>177</v>
      </c>
    </row>
    <row r="49" spans="1:12" x14ac:dyDescent="0.25">
      <c r="A49">
        <v>40</v>
      </c>
      <c r="B49" t="s">
        <v>78</v>
      </c>
      <c r="D49">
        <v>168.07701111</v>
      </c>
      <c r="E49" t="s">
        <v>110</v>
      </c>
      <c r="F49" t="s">
        <v>110</v>
      </c>
      <c r="L49">
        <v>308000</v>
      </c>
    </row>
    <row r="50" spans="1:12" x14ac:dyDescent="0.25">
      <c r="A50">
        <v>41</v>
      </c>
      <c r="B50" t="s">
        <v>80</v>
      </c>
      <c r="C50" t="s">
        <v>80</v>
      </c>
      <c r="D50">
        <v>131.02644348000001</v>
      </c>
      <c r="E50" t="s">
        <v>109</v>
      </c>
      <c r="F50" t="s">
        <v>109</v>
      </c>
      <c r="G50" t="s">
        <v>178</v>
      </c>
      <c r="H50" t="s">
        <v>198</v>
      </c>
      <c r="I50" t="s">
        <v>212</v>
      </c>
      <c r="J50" t="s">
        <v>243</v>
      </c>
      <c r="L50">
        <v>308000</v>
      </c>
    </row>
    <row r="51" spans="1:12" x14ac:dyDescent="0.25">
      <c r="A51">
        <v>42</v>
      </c>
      <c r="B51" t="s">
        <v>81</v>
      </c>
      <c r="C51" t="s">
        <v>81</v>
      </c>
      <c r="D51">
        <v>94.291412354000002</v>
      </c>
      <c r="E51" t="s">
        <v>110</v>
      </c>
      <c r="F51" t="s">
        <v>110</v>
      </c>
      <c r="G51" t="s">
        <v>179</v>
      </c>
    </row>
    <row r="52" spans="1:12" x14ac:dyDescent="0.25">
      <c r="A52">
        <v>42.1</v>
      </c>
      <c r="B52" t="s">
        <v>274</v>
      </c>
      <c r="C52" t="s">
        <v>274</v>
      </c>
      <c r="E52" t="s">
        <v>110</v>
      </c>
      <c r="F52" t="s">
        <v>110</v>
      </c>
    </row>
    <row r="53" spans="1:12" x14ac:dyDescent="0.25">
      <c r="A53">
        <v>43</v>
      </c>
      <c r="B53" t="s">
        <v>82</v>
      </c>
      <c r="C53" t="s">
        <v>82</v>
      </c>
      <c r="D53">
        <v>63.282802582000002</v>
      </c>
      <c r="E53" t="s">
        <v>109</v>
      </c>
      <c r="F53" t="s">
        <v>110</v>
      </c>
      <c r="G53" t="s">
        <v>181</v>
      </c>
      <c r="H53" t="s">
        <v>199</v>
      </c>
      <c r="I53" t="s">
        <v>209</v>
      </c>
      <c r="J53" t="s">
        <v>244</v>
      </c>
      <c r="L53">
        <v>308000</v>
      </c>
    </row>
    <row r="54" spans="1:12" x14ac:dyDescent="0.25">
      <c r="A54">
        <v>43.1</v>
      </c>
      <c r="B54" t="s">
        <v>277</v>
      </c>
      <c r="C54" t="s">
        <v>277</v>
      </c>
      <c r="E54" t="s">
        <v>110</v>
      </c>
      <c r="F54" t="s">
        <v>110</v>
      </c>
    </row>
    <row r="55" spans="1:12" x14ac:dyDescent="0.25">
      <c r="A55">
        <v>44</v>
      </c>
      <c r="B55" t="s">
        <v>83</v>
      </c>
      <c r="C55" t="s">
        <v>83</v>
      </c>
      <c r="E55" t="s">
        <v>110</v>
      </c>
      <c r="F55" t="s">
        <v>110</v>
      </c>
      <c r="G55" t="s">
        <v>182</v>
      </c>
    </row>
    <row r="56" spans="1:12" x14ac:dyDescent="0.25">
      <c r="A56">
        <v>45</v>
      </c>
      <c r="B56" t="s">
        <v>84</v>
      </c>
      <c r="C56" t="s">
        <v>84</v>
      </c>
      <c r="E56" t="s">
        <v>110</v>
      </c>
      <c r="F56" t="s">
        <v>110</v>
      </c>
      <c r="G56" t="s">
        <v>183</v>
      </c>
    </row>
    <row r="57" spans="1:12" x14ac:dyDescent="0.25">
      <c r="A57">
        <v>46</v>
      </c>
      <c r="B57" t="s">
        <v>85</v>
      </c>
      <c r="D57">
        <v>60.934413910000004</v>
      </c>
      <c r="E57" t="s">
        <v>110</v>
      </c>
      <c r="F57" t="s">
        <v>110</v>
      </c>
      <c r="L57">
        <v>308000</v>
      </c>
    </row>
    <row r="58" spans="1:12" x14ac:dyDescent="0.25">
      <c r="A58">
        <v>47</v>
      </c>
      <c r="B58" t="s">
        <v>86</v>
      </c>
      <c r="C58" t="s">
        <v>86</v>
      </c>
      <c r="E58" t="s">
        <v>110</v>
      </c>
      <c r="F58" t="s">
        <v>110</v>
      </c>
      <c r="G58" t="s">
        <v>180</v>
      </c>
    </row>
    <row r="59" spans="1:12" x14ac:dyDescent="0.25">
      <c r="A59">
        <v>48</v>
      </c>
      <c r="B59" t="s">
        <v>87</v>
      </c>
      <c r="E59" t="s">
        <v>110</v>
      </c>
      <c r="F59" t="s">
        <v>110</v>
      </c>
      <c r="K59" t="s">
        <v>150</v>
      </c>
    </row>
    <row r="60" spans="1:12" x14ac:dyDescent="0.25">
      <c r="A60">
        <v>49</v>
      </c>
      <c r="B60" t="s">
        <v>148</v>
      </c>
      <c r="C60" t="s">
        <v>261</v>
      </c>
      <c r="E60" t="s">
        <v>109</v>
      </c>
      <c r="F60" t="s">
        <v>110</v>
      </c>
      <c r="G60" t="s">
        <v>184</v>
      </c>
      <c r="I60" t="s">
        <v>214</v>
      </c>
      <c r="J60" t="s">
        <v>245</v>
      </c>
    </row>
    <row r="61" spans="1:12" x14ac:dyDescent="0.25">
      <c r="A61">
        <v>50</v>
      </c>
      <c r="B61" t="s">
        <v>88</v>
      </c>
      <c r="C61" t="s">
        <v>262</v>
      </c>
      <c r="D61">
        <v>58.328056334999999</v>
      </c>
      <c r="E61" t="s">
        <v>109</v>
      </c>
      <c r="F61" t="s">
        <v>110</v>
      </c>
      <c r="G61" t="s">
        <v>216</v>
      </c>
      <c r="H61" t="s">
        <v>200</v>
      </c>
      <c r="I61" t="s">
        <v>215</v>
      </c>
      <c r="J61" t="s">
        <v>246</v>
      </c>
    </row>
  </sheetData>
  <autoFilter ref="A6:K61" xr:uid="{D5329979-E54C-48B7-8E55-3C9F10950753}"/>
  <pageMargins left="0.7" right="0.7" top="0.75" bottom="0.75" header="0.3" footer="0.3"/>
  <pageSetup orientation="portrait" horizontalDpi="90" verticalDpi="9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918F7-FD03-4BB4-8F8D-E2E0EB12D3EF}">
  <sheetPr codeName="Sheet7"/>
  <dimension ref="A1:H14"/>
  <sheetViews>
    <sheetView workbookViewId="0">
      <selection activeCell="E11" sqref="E11"/>
    </sheetView>
  </sheetViews>
  <sheetFormatPr defaultRowHeight="15" x14ac:dyDescent="0.25"/>
  <cols>
    <col min="1" max="1" width="10.28515625" style="1" customWidth="1"/>
    <col min="2" max="2" width="21.5703125" style="1" customWidth="1"/>
    <col min="3" max="3" width="19.85546875" style="1" customWidth="1"/>
    <col min="4" max="4" width="15" style="1" customWidth="1"/>
    <col min="5" max="6" width="9.140625" style="1"/>
    <col min="7" max="7" width="11.140625" style="1" bestFit="1" customWidth="1"/>
    <col min="8" max="16384" width="9.140625" style="1"/>
  </cols>
  <sheetData>
    <row r="1" spans="1:8" x14ac:dyDescent="0.25">
      <c r="A1" s="1" t="s">
        <v>117</v>
      </c>
    </row>
    <row r="2" spans="1:8" x14ac:dyDescent="0.25">
      <c r="A2" t="s">
        <v>138</v>
      </c>
    </row>
    <row r="3" spans="1:8" x14ac:dyDescent="0.25">
      <c r="A3" s="1" t="s">
        <v>139</v>
      </c>
    </row>
    <row r="6" spans="1:8" x14ac:dyDescent="0.25">
      <c r="A6" s="1" t="s">
        <v>119</v>
      </c>
      <c r="B6" s="1" t="s">
        <v>0</v>
      </c>
      <c r="C6" s="1" t="s">
        <v>124</v>
      </c>
      <c r="D6" s="1" t="s">
        <v>125</v>
      </c>
      <c r="E6" s="1" t="s">
        <v>121</v>
      </c>
      <c r="F6" s="1" t="s">
        <v>122</v>
      </c>
      <c r="G6" s="1" t="s">
        <v>247</v>
      </c>
      <c r="H6" s="1" t="s">
        <v>42</v>
      </c>
    </row>
    <row r="7" spans="1:8" x14ac:dyDescent="0.25">
      <c r="A7">
        <f>IFERROR(INDEX(Reaches!$A$7:$A$60,MATCH(B7,Reaches!$B$7:$B$60,0)),-1)</f>
        <v>13</v>
      </c>
      <c r="B7" t="s">
        <v>16</v>
      </c>
      <c r="C7" s="2" t="s">
        <v>123</v>
      </c>
      <c r="E7" s="1">
        <f>ROUND((114420/5280)/SQRT(0.007866*5280),1)</f>
        <v>3.4</v>
      </c>
      <c r="F7" s="1">
        <v>0.25</v>
      </c>
      <c r="G7" s="1">
        <f>INDEX(Reaches!$G$7:$G$60,MATCH(B7,Reaches!$B$7:$B$60,0))</f>
        <v>1</v>
      </c>
      <c r="H7" s="1" t="s">
        <v>146</v>
      </c>
    </row>
    <row r="8" spans="1:8" x14ac:dyDescent="0.25">
      <c r="A8">
        <f>IFERROR(INDEX(Reaches!$A$7:$A$60,MATCH(B8,Reaches!$B$7:$B$60,0)),-1)</f>
        <v>26</v>
      </c>
      <c r="B8" t="s">
        <v>8</v>
      </c>
      <c r="C8" s="2" t="s">
        <v>123</v>
      </c>
      <c r="D8" s="2"/>
      <c r="E8" s="6">
        <f>ROUND(Reaches!H34/SQRT(Reaches!I34),1)</f>
        <v>3.9</v>
      </c>
      <c r="F8" s="2">
        <v>0.25</v>
      </c>
      <c r="G8" s="1">
        <f>INDEX(Reaches!$G$7:$G$60,MATCH(B8,Reaches!$B$7:$B$60,0))</f>
        <v>1</v>
      </c>
      <c r="H8" t="s">
        <v>235</v>
      </c>
    </row>
    <row r="9" spans="1:8" x14ac:dyDescent="0.25">
      <c r="A9">
        <f>IFERROR(INDEX(Reaches!$A$7:$A$60,MATCH(B9,Reaches!$B$7:$B$60,0)),-1)</f>
        <v>37</v>
      </c>
      <c r="B9" s="2" t="s">
        <v>10</v>
      </c>
      <c r="C9" s="2" t="s">
        <v>123</v>
      </c>
      <c r="D9" s="2"/>
      <c r="E9" s="6">
        <f>ROUND(Reaches!H48/SQRT(Reaches!I48),1)</f>
        <v>10.1</v>
      </c>
      <c r="F9" s="2">
        <v>0.25</v>
      </c>
      <c r="G9" s="1">
        <f>INDEX(Reaches!$G$7:$G$60,MATCH(B9,Reaches!$B$7:$B$60,0))</f>
        <v>2</v>
      </c>
      <c r="H9" t="s">
        <v>241</v>
      </c>
    </row>
    <row r="10" spans="1:8" x14ac:dyDescent="0.25">
      <c r="A10">
        <f>IFERROR(INDEX(Reaches!$A$7:$A$60,MATCH(B10,Reaches!$B$7:$B$60,0)),-1)</f>
        <v>40</v>
      </c>
      <c r="B10" s="2" t="s">
        <v>25</v>
      </c>
      <c r="C10" s="2" t="s">
        <v>123</v>
      </c>
      <c r="D10" s="2"/>
      <c r="E10" s="6">
        <f>ROUND(Reaches!H51/SQRT(Reaches!I51),1)</f>
        <v>13.6</v>
      </c>
      <c r="F10" s="2">
        <v>0.25</v>
      </c>
      <c r="G10" s="1">
        <f>INDEX(Reaches!$G$7:$G$60,MATCH(B10,Reaches!$B$7:$B$60,0))</f>
        <v>2</v>
      </c>
      <c r="H10" t="s">
        <v>242</v>
      </c>
    </row>
    <row r="11" spans="1:8" x14ac:dyDescent="0.25">
      <c r="A11">
        <f>IFERROR(INDEX(Reaches!$A$7:$A$60,MATCH(B11,Reaches!$B$7:$B$60,0)),-1)</f>
        <v>42</v>
      </c>
      <c r="B11" t="s">
        <v>28</v>
      </c>
      <c r="C11" s="2" t="s">
        <v>123</v>
      </c>
      <c r="D11" s="2"/>
      <c r="E11" s="1">
        <f>ROUND((Reaches!H55)/SQRT(Reaches!I55),1)</f>
        <v>4</v>
      </c>
      <c r="F11" s="2">
        <v>0.25</v>
      </c>
      <c r="G11" s="1">
        <f>INDEX(Reaches!$G$7:$G$60,MATCH(B11,Reaches!$B$7:$B$60,0))</f>
        <v>1</v>
      </c>
      <c r="H11" s="1" t="s">
        <v>217</v>
      </c>
    </row>
    <row r="12" spans="1:8" x14ac:dyDescent="0.25">
      <c r="A12">
        <f>IFERROR(INDEX(Reaches!$A$7:$A$60,MATCH(B12,Reaches!$B$7:$B$60,0)),-1)</f>
        <v>43</v>
      </c>
      <c r="B12" t="s">
        <v>27</v>
      </c>
      <c r="C12" s="2" t="s">
        <v>123</v>
      </c>
      <c r="D12" s="2"/>
      <c r="E12" s="1">
        <f>ROUND((Reaches!H56)/SQRT(Reaches!I56),1)</f>
        <v>1.8</v>
      </c>
      <c r="F12" s="2">
        <v>0.25</v>
      </c>
      <c r="G12" s="1">
        <f>INDEX(Reaches!$G$7:$G$60,MATCH(B12,Reaches!$B$7:$B$60,0))</f>
        <v>1</v>
      </c>
      <c r="H12" s="1" t="s">
        <v>217</v>
      </c>
    </row>
    <row r="13" spans="1:8" x14ac:dyDescent="0.25">
      <c r="A13">
        <f>IFERROR(INDEX(Reaches!$A$7:$A$60,MATCH(B13,Reaches!$B$7:$B$60,0)),-1)</f>
        <v>45</v>
      </c>
      <c r="B13" s="2" t="s">
        <v>20</v>
      </c>
      <c r="C13" s="2" t="s">
        <v>123</v>
      </c>
      <c r="D13" s="2"/>
      <c r="E13" s="2">
        <v>7.8</v>
      </c>
      <c r="F13" s="2">
        <v>0.25</v>
      </c>
      <c r="G13" s="1">
        <f>INDEX(Reaches!$G$7:$G$60,MATCH(B13,Reaches!$B$7:$B$60,0))</f>
        <v>3</v>
      </c>
      <c r="H13" s="1" t="s">
        <v>145</v>
      </c>
    </row>
    <row r="14" spans="1:8" x14ac:dyDescent="0.25">
      <c r="A14">
        <f>IFERROR(INDEX(Reaches!$A$7:$A$60,MATCH(B14,Reaches!$B$7:$B$60,0)),-1)</f>
        <v>46</v>
      </c>
      <c r="B14" s="2" t="s">
        <v>24</v>
      </c>
      <c r="C14" s="2" t="s">
        <v>123</v>
      </c>
      <c r="D14" s="2"/>
      <c r="E14" s="2">
        <v>35.9</v>
      </c>
      <c r="F14" s="2">
        <v>0.25</v>
      </c>
      <c r="G14" s="1">
        <f>INDEX(Reaches!$G$7:$G$60,MATCH(B14,Reaches!$B$7:$B$60,0))</f>
        <v>12</v>
      </c>
      <c r="H14" s="1" t="s">
        <v>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36C1-471F-4BC5-A5E6-097825D58A41}">
  <sheetPr codeName="Sheet8"/>
  <dimension ref="A1:F888"/>
  <sheetViews>
    <sheetView workbookViewId="0">
      <pane ySplit="6" topLeftCell="A7" activePane="bottomLeft" state="frozen"/>
      <selection pane="bottomLeft" activeCell="D3" sqref="D3:E5"/>
    </sheetView>
  </sheetViews>
  <sheetFormatPr defaultRowHeight="15" x14ac:dyDescent="0.25"/>
  <cols>
    <col min="1" max="1" width="11.28515625" customWidth="1"/>
    <col min="2" max="2" width="24.28515625" customWidth="1"/>
    <col min="3" max="3" width="12.140625" customWidth="1"/>
    <col min="4" max="4" width="15.140625" customWidth="1"/>
    <col min="5" max="5" width="15.42578125" customWidth="1"/>
  </cols>
  <sheetData>
    <row r="1" spans="1:6" x14ac:dyDescent="0.25">
      <c r="A1" s="1" t="s">
        <v>117</v>
      </c>
    </row>
    <row r="2" spans="1:6" x14ac:dyDescent="0.25">
      <c r="A2" t="s">
        <v>137</v>
      </c>
    </row>
    <row r="3" spans="1:6" x14ac:dyDescent="0.25">
      <c r="A3" s="1" t="s">
        <v>139</v>
      </c>
      <c r="D3" s="3"/>
    </row>
    <row r="4" spans="1:6" x14ac:dyDescent="0.25">
      <c r="D4" s="3"/>
    </row>
    <row r="6" spans="1:6" x14ac:dyDescent="0.25">
      <c r="A6" s="1" t="s">
        <v>119</v>
      </c>
      <c r="B6" s="1" t="s">
        <v>0</v>
      </c>
      <c r="C6" s="1" t="s">
        <v>247</v>
      </c>
      <c r="D6" t="s">
        <v>129</v>
      </c>
      <c r="E6" t="s">
        <v>130</v>
      </c>
      <c r="F6" s="1" t="s">
        <v>42</v>
      </c>
    </row>
    <row r="7" spans="1:6" x14ac:dyDescent="0.25">
      <c r="A7">
        <f>IF(ISBLANK(B7),A6,IFERROR(INDEX(Reaches!$A$7:$A$60,MATCH(B7,Reaches!$B$7:$B$60,0)),-1))</f>
        <v>1</v>
      </c>
      <c r="B7" t="s">
        <v>19</v>
      </c>
      <c r="C7" s="1">
        <f>IFERROR(INDEX(Reaches!$G$7:$G$60,MATCH(B7,Reaches!$B$7:$B$60,0)),"")</f>
        <v>1</v>
      </c>
      <c r="D7" s="3">
        <v>0</v>
      </c>
      <c r="E7" s="3">
        <v>0</v>
      </c>
    </row>
    <row r="8" spans="1:6" x14ac:dyDescent="0.25">
      <c r="A8">
        <f>IF(ISBLANK(B8),A7,IFERROR(INDEX(Reaches!$A$7:$A$60,MATCH(B8,Reaches!$B$7:$B$60,0)),-1))</f>
        <v>1</v>
      </c>
      <c r="C8" s="1" t="str">
        <f>IFERROR(INDEX(Reaches!$G$7:$G$60,MATCH(B8,Reaches!$B$7:$B$60,0)),"")</f>
        <v/>
      </c>
      <c r="D8" s="3">
        <v>823</v>
      </c>
      <c r="E8" s="3">
        <v>450</v>
      </c>
    </row>
    <row r="9" spans="1:6" x14ac:dyDescent="0.25">
      <c r="A9">
        <f>IF(ISBLANK(B9),A8,IFERROR(INDEX(Reaches!$A$7:$A$60,MATCH(B9,Reaches!$B$7:$B$60,0)),-1))</f>
        <v>1</v>
      </c>
      <c r="C9" s="1" t="str">
        <f>IFERROR(INDEX(Reaches!$G$7:$G$60,MATCH(B9,Reaches!$B$7:$B$60,0)),"")</f>
        <v/>
      </c>
      <c r="D9" s="3">
        <v>849</v>
      </c>
      <c r="E9" s="3">
        <v>500</v>
      </c>
    </row>
    <row r="10" spans="1:6" x14ac:dyDescent="0.25">
      <c r="A10">
        <f>IF(ISBLANK(B10),A9,IFERROR(INDEX(Reaches!$A$7:$A$60,MATCH(B10,Reaches!$B$7:$B$60,0)),-1))</f>
        <v>1</v>
      </c>
      <c r="C10" s="1" t="str">
        <f>IFERROR(INDEX(Reaches!$G$7:$G$60,MATCH(B10,Reaches!$B$7:$B$60,0)),"")</f>
        <v/>
      </c>
      <c r="D10" s="3">
        <v>1040</v>
      </c>
      <c r="E10" s="3">
        <v>1000</v>
      </c>
    </row>
    <row r="11" spans="1:6" x14ac:dyDescent="0.25">
      <c r="A11">
        <f>IF(ISBLANK(B11),A10,IFERROR(INDEX(Reaches!$A$7:$A$60,MATCH(B11,Reaches!$B$7:$B$60,0)),-1))</f>
        <v>1</v>
      </c>
      <c r="C11" s="1" t="str">
        <f>IFERROR(INDEX(Reaches!$G$7:$G$60,MATCH(B11,Reaches!$B$7:$B$60,0)),"")</f>
        <v/>
      </c>
      <c r="D11" s="3">
        <v>1206</v>
      </c>
      <c r="E11" s="3">
        <v>1500</v>
      </c>
    </row>
    <row r="12" spans="1:6" x14ac:dyDescent="0.25">
      <c r="A12">
        <f>IF(ISBLANK(B12),A11,IFERROR(INDEX(Reaches!$A$7:$A$60,MATCH(B12,Reaches!$B$7:$B$60,0)),-1))</f>
        <v>1</v>
      </c>
      <c r="C12" s="1" t="str">
        <f>IFERROR(INDEX(Reaches!$G$7:$G$60,MATCH(B12,Reaches!$B$7:$B$60,0)),"")</f>
        <v/>
      </c>
      <c r="D12" s="3">
        <v>1364</v>
      </c>
      <c r="E12" s="3">
        <v>2000</v>
      </c>
    </row>
    <row r="13" spans="1:6" x14ac:dyDescent="0.25">
      <c r="A13">
        <f>IF(ISBLANK(B13),A12,IFERROR(INDEX(Reaches!$A$7:$A$60,MATCH(B13,Reaches!$B$7:$B$60,0)),-1))</f>
        <v>1</v>
      </c>
      <c r="C13" s="1" t="str">
        <f>IFERROR(INDEX(Reaches!$G$7:$G$60,MATCH(B13,Reaches!$B$7:$B$60,0)),"")</f>
        <v/>
      </c>
      <c r="D13" s="3">
        <v>1679</v>
      </c>
      <c r="E13" s="3">
        <v>3000</v>
      </c>
    </row>
    <row r="14" spans="1:6" x14ac:dyDescent="0.25">
      <c r="A14">
        <f>IF(ISBLANK(B14),A13,IFERROR(INDEX(Reaches!$A$7:$A$60,MATCH(B14,Reaches!$B$7:$B$60,0)),-1))</f>
        <v>1</v>
      </c>
      <c r="C14" s="1" t="str">
        <f>IFERROR(INDEX(Reaches!$G$7:$G$60,MATCH(B14,Reaches!$B$7:$B$60,0)),"")</f>
        <v/>
      </c>
      <c r="D14" s="3">
        <v>1980</v>
      </c>
      <c r="E14" s="3">
        <v>4000</v>
      </c>
    </row>
    <row r="15" spans="1:6" x14ac:dyDescent="0.25">
      <c r="A15">
        <f>IF(ISBLANK(B15),A14,IFERROR(INDEX(Reaches!$A$7:$A$60,MATCH(B15,Reaches!$B$7:$B$60,0)),-1))</f>
        <v>1</v>
      </c>
      <c r="C15" s="1" t="str">
        <f>IFERROR(INDEX(Reaches!$G$7:$G$60,MATCH(B15,Reaches!$B$7:$B$60,0)),"")</f>
        <v/>
      </c>
      <c r="D15" s="3">
        <v>2277</v>
      </c>
      <c r="E15" s="3">
        <v>5000</v>
      </c>
    </row>
    <row r="16" spans="1:6" x14ac:dyDescent="0.25">
      <c r="A16">
        <f>IF(ISBLANK(B16),A15,IFERROR(INDEX(Reaches!$A$7:$A$60,MATCH(B16,Reaches!$B$7:$B$60,0)),-1))</f>
        <v>1</v>
      </c>
      <c r="C16" s="1" t="str">
        <f>IFERROR(INDEX(Reaches!$G$7:$G$60,MATCH(B16,Reaches!$B$7:$B$60,0)),"")</f>
        <v/>
      </c>
      <c r="D16" s="3">
        <v>2530</v>
      </c>
      <c r="E16" s="3">
        <v>6000</v>
      </c>
    </row>
    <row r="17" spans="1:5" x14ac:dyDescent="0.25">
      <c r="A17">
        <f>IF(ISBLANK(B17),A16,IFERROR(INDEX(Reaches!$A$7:$A$60,MATCH(B17,Reaches!$B$7:$B$60,0)),-1))</f>
        <v>1</v>
      </c>
      <c r="C17" s="1" t="str">
        <f>IFERROR(INDEX(Reaches!$G$7:$G$60,MATCH(B17,Reaches!$B$7:$B$60,0)),"")</f>
        <v/>
      </c>
      <c r="D17" s="3">
        <v>2750</v>
      </c>
      <c r="E17" s="3">
        <v>7000</v>
      </c>
    </row>
    <row r="18" spans="1:5" x14ac:dyDescent="0.25">
      <c r="A18">
        <f>IF(ISBLANK(B18),A17,IFERROR(INDEX(Reaches!$A$7:$A$60,MATCH(B18,Reaches!$B$7:$B$60,0)),-1))</f>
        <v>1</v>
      </c>
      <c r="C18" s="1" t="str">
        <f>IFERROR(INDEX(Reaches!$G$7:$G$60,MATCH(B18,Reaches!$B$7:$B$60,0)),"")</f>
        <v/>
      </c>
      <c r="D18" s="3">
        <v>2953</v>
      </c>
      <c r="E18" s="3">
        <v>8000</v>
      </c>
    </row>
    <row r="19" spans="1:5" x14ac:dyDescent="0.25">
      <c r="A19">
        <f>IF(ISBLANK(B19),A18,IFERROR(INDEX(Reaches!$A$7:$A$60,MATCH(B19,Reaches!$B$7:$B$60,0)),-1))</f>
        <v>1</v>
      </c>
      <c r="C19" s="1" t="str">
        <f>IFERROR(INDEX(Reaches!$G$7:$G$60,MATCH(B19,Reaches!$B$7:$B$60,0)),"")</f>
        <v/>
      </c>
      <c r="D19" s="3">
        <v>3160</v>
      </c>
      <c r="E19" s="3">
        <v>9000</v>
      </c>
    </row>
    <row r="20" spans="1:5" x14ac:dyDescent="0.25">
      <c r="A20">
        <f>IF(ISBLANK(B20),A19,IFERROR(INDEX(Reaches!$A$7:$A$60,MATCH(B20,Reaches!$B$7:$B$60,0)),-1))</f>
        <v>1</v>
      </c>
      <c r="C20" s="1" t="str">
        <f>IFERROR(INDEX(Reaches!$G$7:$G$60,MATCH(B20,Reaches!$B$7:$B$60,0)),"")</f>
        <v/>
      </c>
      <c r="D20" s="3">
        <v>3340</v>
      </c>
      <c r="E20" s="3">
        <v>10000</v>
      </c>
    </row>
    <row r="21" spans="1:5" x14ac:dyDescent="0.25">
      <c r="A21">
        <f>IF(ISBLANK(B21),A20,IFERROR(INDEX(Reaches!$A$7:$A$60,MATCH(B21,Reaches!$B$7:$B$60,0)),-1))</f>
        <v>1</v>
      </c>
      <c r="C21" s="1" t="str">
        <f>IFERROR(INDEX(Reaches!$G$7:$G$60,MATCH(B21,Reaches!$B$7:$B$60,0)),"")</f>
        <v/>
      </c>
      <c r="D21" s="3">
        <v>4239</v>
      </c>
      <c r="E21" s="3">
        <v>15000</v>
      </c>
    </row>
    <row r="22" spans="1:5" x14ac:dyDescent="0.25">
      <c r="A22">
        <f>IF(ISBLANK(B22),A21,IFERROR(INDEX(Reaches!$A$7:$A$60,MATCH(B22,Reaches!$B$7:$B$60,0)),-1))</f>
        <v>1</v>
      </c>
      <c r="C22" s="1" t="str">
        <f>IFERROR(INDEX(Reaches!$G$7:$G$60,MATCH(B22,Reaches!$B$7:$B$60,0)),"")</f>
        <v/>
      </c>
      <c r="D22" s="3">
        <v>5036</v>
      </c>
      <c r="E22" s="3">
        <v>20000</v>
      </c>
    </row>
    <row r="23" spans="1:5" x14ac:dyDescent="0.25">
      <c r="A23">
        <f>IF(ISBLANK(B23),A22,IFERROR(INDEX(Reaches!$A$7:$A$60,MATCH(B23,Reaches!$B$7:$B$60,0)),-1))</f>
        <v>1</v>
      </c>
      <c r="C23" s="1" t="str">
        <f>IFERROR(INDEX(Reaches!$G$7:$G$60,MATCH(B23,Reaches!$B$7:$B$60,0)),"")</f>
        <v/>
      </c>
      <c r="D23" s="3">
        <v>5794</v>
      </c>
      <c r="E23" s="3">
        <v>25000</v>
      </c>
    </row>
    <row r="24" spans="1:5" x14ac:dyDescent="0.25">
      <c r="A24">
        <f>IF(ISBLANK(B24),A23,IFERROR(INDEX(Reaches!$A$7:$A$60,MATCH(B24,Reaches!$B$7:$B$60,0)),-1))</f>
        <v>1</v>
      </c>
      <c r="C24" s="1" t="str">
        <f>IFERROR(INDEX(Reaches!$G$7:$G$60,MATCH(B24,Reaches!$B$7:$B$60,0)),"")</f>
        <v/>
      </c>
      <c r="D24" s="3">
        <v>6551</v>
      </c>
      <c r="E24" s="3">
        <v>30000</v>
      </c>
    </row>
    <row r="25" spans="1:5" x14ac:dyDescent="0.25">
      <c r="A25">
        <f>IF(ISBLANK(B25),A24,IFERROR(INDEX(Reaches!$A$7:$A$60,MATCH(B25,Reaches!$B$7:$B$60,0)),-1))</f>
        <v>1</v>
      </c>
      <c r="C25" s="1" t="str">
        <f>IFERROR(INDEX(Reaches!$G$7:$G$60,MATCH(B25,Reaches!$B$7:$B$60,0)),"")</f>
        <v/>
      </c>
      <c r="D25" s="3">
        <v>7113</v>
      </c>
      <c r="E25" s="3">
        <v>34000</v>
      </c>
    </row>
    <row r="26" spans="1:5" x14ac:dyDescent="0.25">
      <c r="A26">
        <f>IF(ISBLANK(B26),A25,IFERROR(INDEX(Reaches!$A$7:$A$60,MATCH(B26,Reaches!$B$7:$B$60,0)),-1))</f>
        <v>1</v>
      </c>
      <c r="C26" s="1" t="str">
        <f>IFERROR(INDEX(Reaches!$G$7:$G$60,MATCH(B26,Reaches!$B$7:$B$60,0)),"")</f>
        <v/>
      </c>
      <c r="D26" s="3">
        <v>7252</v>
      </c>
      <c r="E26" s="3">
        <v>35000</v>
      </c>
    </row>
    <row r="27" spans="1:5" x14ac:dyDescent="0.25">
      <c r="A27">
        <f>IF(ISBLANK(B27),A26,IFERROR(INDEX(Reaches!$A$7:$A$60,MATCH(B27,Reaches!$B$7:$B$60,0)),-1))</f>
        <v>1</v>
      </c>
      <c r="C27" s="1" t="str">
        <f>IFERROR(INDEX(Reaches!$G$7:$G$60,MATCH(B27,Reaches!$B$7:$B$60,0)),"")</f>
        <v/>
      </c>
      <c r="D27" s="3">
        <v>281407</v>
      </c>
      <c r="E27" s="3">
        <v>3200000</v>
      </c>
    </row>
    <row r="28" spans="1:5" x14ac:dyDescent="0.25">
      <c r="A28">
        <f>IF(ISBLANK(B28),A27,IFERROR(INDEX(Reaches!$A$7:$A$60,MATCH(B28,Reaches!$B$7:$B$60,0)),-1))</f>
        <v>2</v>
      </c>
      <c r="B28" t="s">
        <v>3</v>
      </c>
      <c r="C28" s="1">
        <f>IFERROR(INDEX(Reaches!$G$7:$G$60,MATCH(B28,Reaches!$B$7:$B$60,0)),"")</f>
        <v>1</v>
      </c>
      <c r="D28" s="3">
        <v>0</v>
      </c>
      <c r="E28">
        <v>0</v>
      </c>
    </row>
    <row r="29" spans="1:5" x14ac:dyDescent="0.25">
      <c r="A29">
        <f>IF(ISBLANK(B29),A28,IFERROR(INDEX(Reaches!$A$7:$A$60,MATCH(B29,Reaches!$B$7:$B$60,0)),-1))</f>
        <v>2</v>
      </c>
      <c r="C29" s="1" t="str">
        <f>IFERROR(INDEX(Reaches!$G$7:$G$60,MATCH(B29,Reaches!$B$7:$B$60,0)),"")</f>
        <v/>
      </c>
      <c r="D29" s="3">
        <v>192</v>
      </c>
      <c r="E29">
        <v>500</v>
      </c>
    </row>
    <row r="30" spans="1:5" x14ac:dyDescent="0.25">
      <c r="A30">
        <f>IF(ISBLANK(B30),A29,IFERROR(INDEX(Reaches!$A$7:$A$60,MATCH(B30,Reaches!$B$7:$B$60,0)),-1))</f>
        <v>2</v>
      </c>
      <c r="C30" s="1" t="str">
        <f>IFERROR(INDEX(Reaches!$G$7:$G$60,MATCH(B30,Reaches!$B$7:$B$60,0)),"")</f>
        <v/>
      </c>
      <c r="D30" s="3">
        <v>197</v>
      </c>
      <c r="E30">
        <v>501</v>
      </c>
    </row>
    <row r="31" spans="1:5" x14ac:dyDescent="0.25">
      <c r="A31">
        <f>IF(ISBLANK(B31),A30,IFERROR(INDEX(Reaches!$A$7:$A$60,MATCH(B31,Reaches!$B$7:$B$60,0)),-1))</f>
        <v>2</v>
      </c>
      <c r="C31" s="1" t="str">
        <f>IFERROR(INDEX(Reaches!$G$7:$G$60,MATCH(B31,Reaches!$B$7:$B$60,0)),"")</f>
        <v/>
      </c>
      <c r="D31" s="3">
        <v>247</v>
      </c>
      <c r="E31">
        <v>1000</v>
      </c>
    </row>
    <row r="32" spans="1:5" x14ac:dyDescent="0.25">
      <c r="A32">
        <f>IF(ISBLANK(B32),A31,IFERROR(INDEX(Reaches!$A$7:$A$60,MATCH(B32,Reaches!$B$7:$B$60,0)),-1))</f>
        <v>2</v>
      </c>
      <c r="C32" s="1" t="str">
        <f>IFERROR(INDEX(Reaches!$G$7:$G$60,MATCH(B32,Reaches!$B$7:$B$60,0)),"")</f>
        <v/>
      </c>
      <c r="D32" s="3">
        <v>292</v>
      </c>
      <c r="E32">
        <v>1500</v>
      </c>
    </row>
    <row r="33" spans="1:5" x14ac:dyDescent="0.25">
      <c r="A33">
        <f>IF(ISBLANK(B33),A32,IFERROR(INDEX(Reaches!$A$7:$A$60,MATCH(B33,Reaches!$B$7:$B$60,0)),-1))</f>
        <v>2</v>
      </c>
      <c r="C33" s="1" t="str">
        <f>IFERROR(INDEX(Reaches!$G$7:$G$60,MATCH(B33,Reaches!$B$7:$B$60,0)),"")</f>
        <v/>
      </c>
      <c r="D33" s="3">
        <v>335</v>
      </c>
      <c r="E33">
        <v>2000</v>
      </c>
    </row>
    <row r="34" spans="1:5" x14ac:dyDescent="0.25">
      <c r="A34">
        <f>IF(ISBLANK(B34),A33,IFERROR(INDEX(Reaches!$A$7:$A$60,MATCH(B34,Reaches!$B$7:$B$60,0)),-1))</f>
        <v>2</v>
      </c>
      <c r="C34" s="1" t="str">
        <f>IFERROR(INDEX(Reaches!$G$7:$G$60,MATCH(B34,Reaches!$B$7:$B$60,0)),"")</f>
        <v/>
      </c>
      <c r="D34" s="3">
        <v>419</v>
      </c>
      <c r="E34">
        <v>3000</v>
      </c>
    </row>
    <row r="35" spans="1:5" x14ac:dyDescent="0.25">
      <c r="A35">
        <f>IF(ISBLANK(B35),A34,IFERROR(INDEX(Reaches!$A$7:$A$60,MATCH(B35,Reaches!$B$7:$B$60,0)),-1))</f>
        <v>2</v>
      </c>
      <c r="C35" s="1" t="str">
        <f>IFERROR(INDEX(Reaches!$G$7:$G$60,MATCH(B35,Reaches!$B$7:$B$60,0)),"")</f>
        <v/>
      </c>
      <c r="D35" s="3">
        <v>501</v>
      </c>
      <c r="E35">
        <v>4000</v>
      </c>
    </row>
    <row r="36" spans="1:5" x14ac:dyDescent="0.25">
      <c r="A36">
        <f>IF(ISBLANK(B36),A35,IFERROR(INDEX(Reaches!$A$7:$A$60,MATCH(B36,Reaches!$B$7:$B$60,0)),-1))</f>
        <v>2</v>
      </c>
      <c r="C36" s="1" t="str">
        <f>IFERROR(INDEX(Reaches!$G$7:$G$60,MATCH(B36,Reaches!$B$7:$B$60,0)),"")</f>
        <v/>
      </c>
      <c r="D36" s="3">
        <v>583</v>
      </c>
      <c r="E36">
        <v>5000</v>
      </c>
    </row>
    <row r="37" spans="1:5" x14ac:dyDescent="0.25">
      <c r="A37">
        <f>IF(ISBLANK(B37),A36,IFERROR(INDEX(Reaches!$A$7:$A$60,MATCH(B37,Reaches!$B$7:$B$60,0)),-1))</f>
        <v>2</v>
      </c>
      <c r="C37" s="1" t="str">
        <f>IFERROR(INDEX(Reaches!$G$7:$G$60,MATCH(B37,Reaches!$B$7:$B$60,0)),"")</f>
        <v/>
      </c>
      <c r="D37" s="3">
        <v>663</v>
      </c>
      <c r="E37">
        <v>6000</v>
      </c>
    </row>
    <row r="38" spans="1:5" x14ac:dyDescent="0.25">
      <c r="A38">
        <f>IF(ISBLANK(B38),A37,IFERROR(INDEX(Reaches!$A$7:$A$60,MATCH(B38,Reaches!$B$7:$B$60,0)),-1))</f>
        <v>2</v>
      </c>
      <c r="C38" s="1" t="str">
        <f>IFERROR(INDEX(Reaches!$G$7:$G$60,MATCH(B38,Reaches!$B$7:$B$60,0)),"")</f>
        <v/>
      </c>
      <c r="D38" s="3">
        <v>745</v>
      </c>
      <c r="E38">
        <v>7000</v>
      </c>
    </row>
    <row r="39" spans="1:5" x14ac:dyDescent="0.25">
      <c r="A39">
        <f>IF(ISBLANK(B39),A38,IFERROR(INDEX(Reaches!$A$7:$A$60,MATCH(B39,Reaches!$B$7:$B$60,0)),-1))</f>
        <v>2</v>
      </c>
      <c r="C39" s="1" t="str">
        <f>IFERROR(INDEX(Reaches!$G$7:$G$60,MATCH(B39,Reaches!$B$7:$B$60,0)),"")</f>
        <v/>
      </c>
      <c r="D39" s="3">
        <v>823</v>
      </c>
      <c r="E39">
        <v>8000</v>
      </c>
    </row>
    <row r="40" spans="1:5" x14ac:dyDescent="0.25">
      <c r="A40">
        <f>IF(ISBLANK(B40),A39,IFERROR(INDEX(Reaches!$A$7:$A$60,MATCH(B40,Reaches!$B$7:$B$60,0)),-1))</f>
        <v>2</v>
      </c>
      <c r="C40" s="1" t="str">
        <f>IFERROR(INDEX(Reaches!$G$7:$G$60,MATCH(B40,Reaches!$B$7:$B$60,0)),"")</f>
        <v/>
      </c>
      <c r="D40" s="3">
        <v>902</v>
      </c>
      <c r="E40">
        <v>9000</v>
      </c>
    </row>
    <row r="41" spans="1:5" x14ac:dyDescent="0.25">
      <c r="A41">
        <f>IF(ISBLANK(B41),A40,IFERROR(INDEX(Reaches!$A$7:$A$60,MATCH(B41,Reaches!$B$7:$B$60,0)),-1))</f>
        <v>2</v>
      </c>
      <c r="C41" s="1" t="str">
        <f>IFERROR(INDEX(Reaches!$G$7:$G$60,MATCH(B41,Reaches!$B$7:$B$60,0)),"")</f>
        <v/>
      </c>
      <c r="D41" s="3">
        <v>977</v>
      </c>
      <c r="E41">
        <v>10000</v>
      </c>
    </row>
    <row r="42" spans="1:5" x14ac:dyDescent="0.25">
      <c r="A42">
        <f>IF(ISBLANK(B42),A41,IFERROR(INDEX(Reaches!$A$7:$A$60,MATCH(B42,Reaches!$B$7:$B$60,0)),-1))</f>
        <v>2</v>
      </c>
      <c r="C42" s="1" t="str">
        <f>IFERROR(INDEX(Reaches!$G$7:$G$60,MATCH(B42,Reaches!$B$7:$B$60,0)),"")</f>
        <v/>
      </c>
      <c r="D42" s="3">
        <v>1384</v>
      </c>
      <c r="E42">
        <v>20000</v>
      </c>
    </row>
    <row r="43" spans="1:5" x14ac:dyDescent="0.25">
      <c r="A43">
        <f>IF(ISBLANK(B43),A42,IFERROR(INDEX(Reaches!$A$7:$A$60,MATCH(B43,Reaches!$B$7:$B$60,0)),-1))</f>
        <v>2</v>
      </c>
      <c r="C43" s="1" t="str">
        <f>IFERROR(INDEX(Reaches!$G$7:$G$60,MATCH(B43,Reaches!$B$7:$B$60,0)),"")</f>
        <v/>
      </c>
      <c r="D43" s="3">
        <v>1766</v>
      </c>
      <c r="E43">
        <v>30000</v>
      </c>
    </row>
    <row r="44" spans="1:5" x14ac:dyDescent="0.25">
      <c r="A44">
        <f>IF(ISBLANK(B44),A43,IFERROR(INDEX(Reaches!$A$7:$A$60,MATCH(B44,Reaches!$B$7:$B$60,0)),-1))</f>
        <v>2</v>
      </c>
      <c r="C44" s="1" t="str">
        <f>IFERROR(INDEX(Reaches!$G$7:$G$60,MATCH(B44,Reaches!$B$7:$B$60,0)),"")</f>
        <v/>
      </c>
      <c r="D44" s="3">
        <v>2137</v>
      </c>
      <c r="E44">
        <v>40000</v>
      </c>
    </row>
    <row r="45" spans="1:5" x14ac:dyDescent="0.25">
      <c r="A45">
        <f>IF(ISBLANK(B45),A44,IFERROR(INDEX(Reaches!$A$7:$A$60,MATCH(B45,Reaches!$B$7:$B$60,0)),-1))</f>
        <v>2</v>
      </c>
      <c r="C45" s="1" t="str">
        <f>IFERROR(INDEX(Reaches!$G$7:$G$60,MATCH(B45,Reaches!$B$7:$B$60,0)),"")</f>
        <v/>
      </c>
      <c r="D45" s="3">
        <v>2506</v>
      </c>
      <c r="E45">
        <v>50000</v>
      </c>
    </row>
    <row r="46" spans="1:5" x14ac:dyDescent="0.25">
      <c r="A46">
        <f>IF(ISBLANK(B46),A45,IFERROR(INDEX(Reaches!$A$7:$A$60,MATCH(B46,Reaches!$B$7:$B$60,0)),-1))</f>
        <v>2</v>
      </c>
      <c r="C46" s="1" t="str">
        <f>IFERROR(INDEX(Reaches!$G$7:$G$60,MATCH(B46,Reaches!$B$7:$B$60,0)),"")</f>
        <v/>
      </c>
      <c r="D46" s="3">
        <v>2816</v>
      </c>
      <c r="E46">
        <v>59900</v>
      </c>
    </row>
    <row r="47" spans="1:5" x14ac:dyDescent="0.25">
      <c r="A47">
        <f>IF(ISBLANK(B47),A46,IFERROR(INDEX(Reaches!$A$7:$A$60,MATCH(B47,Reaches!$B$7:$B$60,0)),-1))</f>
        <v>2</v>
      </c>
      <c r="C47" s="1" t="str">
        <f>IFERROR(INDEX(Reaches!$G$7:$G$60,MATCH(B47,Reaches!$B$7:$B$60,0)),"")</f>
        <v/>
      </c>
      <c r="D47" s="3">
        <v>2889</v>
      </c>
      <c r="E47">
        <v>62000</v>
      </c>
    </row>
    <row r="48" spans="1:5" x14ac:dyDescent="0.25">
      <c r="A48">
        <f>IF(ISBLANK(B48),A47,IFERROR(INDEX(Reaches!$A$7:$A$60,MATCH(B48,Reaches!$B$7:$B$60,0)),-1))</f>
        <v>2</v>
      </c>
      <c r="C48" s="1" t="str">
        <f>IFERROR(INDEX(Reaches!$G$7:$G$60,MATCH(B48,Reaches!$B$7:$B$60,0)),"")</f>
        <v/>
      </c>
      <c r="D48" s="3">
        <v>159425</v>
      </c>
      <c r="E48">
        <v>3100000</v>
      </c>
    </row>
    <row r="49" spans="1:6" x14ac:dyDescent="0.25">
      <c r="A49">
        <f>IF(ISBLANK(B49),A48,IFERROR(INDEX(Reaches!$A$7:$A$60,MATCH(B49,Reaches!$B$7:$B$60,0)),-1))</f>
        <v>3</v>
      </c>
      <c r="B49" t="s">
        <v>93</v>
      </c>
      <c r="C49" s="1">
        <f>IFERROR(INDEX(Reaches!$G$7:$G$60,MATCH(B49,Reaches!$B$7:$B$60,0)),"")</f>
        <v>2</v>
      </c>
      <c r="D49" s="3">
        <v>0</v>
      </c>
      <c r="E49">
        <v>0</v>
      </c>
      <c r="F49" t="s">
        <v>227</v>
      </c>
    </row>
    <row r="50" spans="1:6" x14ac:dyDescent="0.25">
      <c r="A50">
        <f>IF(ISBLANK(B50),A49,IFERROR(INDEX(Reaches!$A$7:$A$60,MATCH(B50,Reaches!$B$7:$B$60,0)),-1))</f>
        <v>3</v>
      </c>
      <c r="C50" s="1" t="str">
        <f>IFERROR(INDEX(Reaches!$G$7:$G$60,MATCH(B50,Reaches!$B$7:$B$60,0)),"")</f>
        <v/>
      </c>
      <c r="D50" s="3">
        <v>669.15</v>
      </c>
      <c r="E50">
        <v>500</v>
      </c>
    </row>
    <row r="51" spans="1:6" x14ac:dyDescent="0.25">
      <c r="A51">
        <f>IF(ISBLANK(B51),A50,IFERROR(INDEX(Reaches!$A$7:$A$60,MATCH(B51,Reaches!$B$7:$B$60,0)),-1))</f>
        <v>3</v>
      </c>
      <c r="C51" s="1" t="str">
        <f>IFERROR(INDEX(Reaches!$G$7:$G$60,MATCH(B51,Reaches!$B$7:$B$60,0)),"")</f>
        <v/>
      </c>
      <c r="D51" s="3">
        <v>1058.55</v>
      </c>
      <c r="E51">
        <v>1000</v>
      </c>
    </row>
    <row r="52" spans="1:6" x14ac:dyDescent="0.25">
      <c r="A52">
        <f>IF(ISBLANK(B52),A51,IFERROR(INDEX(Reaches!$A$7:$A$60,MATCH(B52,Reaches!$B$7:$B$60,0)),-1))</f>
        <v>3</v>
      </c>
      <c r="C52" s="1" t="str">
        <f>IFERROR(INDEX(Reaches!$G$7:$G$60,MATCH(B52,Reaches!$B$7:$B$60,0)),"")</f>
        <v/>
      </c>
      <c r="D52" s="3">
        <v>1361.54</v>
      </c>
      <c r="E52">
        <v>1500</v>
      </c>
    </row>
    <row r="53" spans="1:6" x14ac:dyDescent="0.25">
      <c r="A53">
        <f>IF(ISBLANK(B53),A52,IFERROR(INDEX(Reaches!$A$7:$A$60,MATCH(B53,Reaches!$B$7:$B$60,0)),-1))</f>
        <v>3</v>
      </c>
      <c r="C53" s="1" t="str">
        <f>IFERROR(INDEX(Reaches!$G$7:$G$60,MATCH(B53,Reaches!$B$7:$B$60,0)),"")</f>
        <v/>
      </c>
      <c r="D53" s="3">
        <v>1632.26</v>
      </c>
      <c r="E53">
        <v>2000</v>
      </c>
    </row>
    <row r="54" spans="1:6" x14ac:dyDescent="0.25">
      <c r="A54">
        <f>IF(ISBLANK(B54),A53,IFERROR(INDEX(Reaches!$A$7:$A$60,MATCH(B54,Reaches!$B$7:$B$60,0)),-1))</f>
        <v>3</v>
      </c>
      <c r="C54" s="1" t="str">
        <f>IFERROR(INDEX(Reaches!$G$7:$G$60,MATCH(B54,Reaches!$B$7:$B$60,0)),"")</f>
        <v/>
      </c>
      <c r="D54" s="3">
        <v>2112.16</v>
      </c>
      <c r="E54">
        <v>3000</v>
      </c>
    </row>
    <row r="55" spans="1:6" x14ac:dyDescent="0.25">
      <c r="A55">
        <f>IF(ISBLANK(B55),A54,IFERROR(INDEX(Reaches!$A$7:$A$60,MATCH(B55,Reaches!$B$7:$B$60,0)),-1))</f>
        <v>3</v>
      </c>
      <c r="C55" s="1" t="str">
        <f>IFERROR(INDEX(Reaches!$G$7:$G$60,MATCH(B55,Reaches!$B$7:$B$60,0)),"")</f>
        <v/>
      </c>
      <c r="D55" s="3">
        <v>2564.61</v>
      </c>
      <c r="E55">
        <v>4000</v>
      </c>
    </row>
    <row r="56" spans="1:6" x14ac:dyDescent="0.25">
      <c r="A56">
        <f>IF(ISBLANK(B56),A55,IFERROR(INDEX(Reaches!$A$7:$A$60,MATCH(B56,Reaches!$B$7:$B$60,0)),-1))</f>
        <v>3</v>
      </c>
      <c r="C56" s="1" t="str">
        <f>IFERROR(INDEX(Reaches!$G$7:$G$60,MATCH(B56,Reaches!$B$7:$B$60,0)),"")</f>
        <v/>
      </c>
      <c r="D56" s="3">
        <v>2980.86</v>
      </c>
      <c r="E56">
        <v>5000</v>
      </c>
    </row>
    <row r="57" spans="1:6" x14ac:dyDescent="0.25">
      <c r="A57">
        <f>IF(ISBLANK(B57),A56,IFERROR(INDEX(Reaches!$A$7:$A$60,MATCH(B57,Reaches!$B$7:$B$60,0)),-1))</f>
        <v>3</v>
      </c>
      <c r="C57" s="1" t="str">
        <f>IFERROR(INDEX(Reaches!$G$7:$G$60,MATCH(B57,Reaches!$B$7:$B$60,0)),"")</f>
        <v/>
      </c>
      <c r="D57" s="3">
        <v>3378.91</v>
      </c>
      <c r="E57">
        <v>6000</v>
      </c>
    </row>
    <row r="58" spans="1:6" x14ac:dyDescent="0.25">
      <c r="A58">
        <f>IF(ISBLANK(B58),A57,IFERROR(INDEX(Reaches!$A$7:$A$60,MATCH(B58,Reaches!$B$7:$B$60,0)),-1))</f>
        <v>3</v>
      </c>
      <c r="C58" s="1" t="str">
        <f>IFERROR(INDEX(Reaches!$G$7:$G$60,MATCH(B58,Reaches!$B$7:$B$60,0)),"")</f>
        <v/>
      </c>
      <c r="D58" s="3">
        <v>3771.1</v>
      </c>
      <c r="E58">
        <v>7000</v>
      </c>
    </row>
    <row r="59" spans="1:6" x14ac:dyDescent="0.25">
      <c r="A59">
        <f>IF(ISBLANK(B59),A58,IFERROR(INDEX(Reaches!$A$7:$A$60,MATCH(B59,Reaches!$B$7:$B$60,0)),-1))</f>
        <v>3</v>
      </c>
      <c r="C59" s="1" t="str">
        <f>IFERROR(INDEX(Reaches!$G$7:$G$60,MATCH(B59,Reaches!$B$7:$B$60,0)),"")</f>
        <v/>
      </c>
      <c r="D59" s="3">
        <v>4160.25</v>
      </c>
      <c r="E59">
        <v>8000</v>
      </c>
    </row>
    <row r="60" spans="1:6" x14ac:dyDescent="0.25">
      <c r="A60">
        <f>IF(ISBLANK(B60),A59,IFERROR(INDEX(Reaches!$A$7:$A$60,MATCH(B60,Reaches!$B$7:$B$60,0)),-1))</f>
        <v>3</v>
      </c>
      <c r="C60" s="1" t="str">
        <f>IFERROR(INDEX(Reaches!$G$7:$G$60,MATCH(B60,Reaches!$B$7:$B$60,0)),"")</f>
        <v/>
      </c>
      <c r="D60" s="3">
        <v>4521.82</v>
      </c>
      <c r="E60">
        <v>9000</v>
      </c>
    </row>
    <row r="61" spans="1:6" x14ac:dyDescent="0.25">
      <c r="A61">
        <f>IF(ISBLANK(B61),A60,IFERROR(INDEX(Reaches!$A$7:$A$60,MATCH(B61,Reaches!$B$7:$B$60,0)),-1))</f>
        <v>3</v>
      </c>
      <c r="C61" s="1" t="str">
        <f>IFERROR(INDEX(Reaches!$G$7:$G$60,MATCH(B61,Reaches!$B$7:$B$60,0)),"")</f>
        <v/>
      </c>
      <c r="D61" s="3">
        <v>4873.54</v>
      </c>
      <c r="E61">
        <v>10000</v>
      </c>
    </row>
    <row r="62" spans="1:6" x14ac:dyDescent="0.25">
      <c r="A62">
        <f>IF(ISBLANK(B62),A61,IFERROR(INDEX(Reaches!$A$7:$A$60,MATCH(B62,Reaches!$B$7:$B$60,0)),-1))</f>
        <v>3</v>
      </c>
      <c r="C62" s="1" t="str">
        <f>IFERROR(INDEX(Reaches!$G$7:$G$60,MATCH(B62,Reaches!$B$7:$B$60,0)),"")</f>
        <v/>
      </c>
      <c r="D62" s="3">
        <v>8091.03</v>
      </c>
      <c r="E62">
        <v>20000</v>
      </c>
    </row>
    <row r="63" spans="1:6" x14ac:dyDescent="0.25">
      <c r="A63">
        <f>IF(ISBLANK(B63),A62,IFERROR(INDEX(Reaches!$A$7:$A$60,MATCH(B63,Reaches!$B$7:$B$60,0)),-1))</f>
        <v>3</v>
      </c>
      <c r="C63" s="1" t="str">
        <f>IFERROR(INDEX(Reaches!$G$7:$G$60,MATCH(B63,Reaches!$B$7:$B$60,0)),"")</f>
        <v/>
      </c>
      <c r="D63" s="3">
        <v>10997.85</v>
      </c>
      <c r="E63">
        <v>30000</v>
      </c>
    </row>
    <row r="64" spans="1:6" x14ac:dyDescent="0.25">
      <c r="A64">
        <f>IF(ISBLANK(B64),A63,IFERROR(INDEX(Reaches!$A$7:$A$60,MATCH(B64,Reaches!$B$7:$B$60,0)),-1))</f>
        <v>3</v>
      </c>
      <c r="C64" s="1" t="str">
        <f>IFERROR(INDEX(Reaches!$G$7:$G$60,MATCH(B64,Reaches!$B$7:$B$60,0)),"")</f>
        <v/>
      </c>
      <c r="D64" s="3">
        <v>13944.65</v>
      </c>
      <c r="E64">
        <v>40000</v>
      </c>
    </row>
    <row r="65" spans="1:6" x14ac:dyDescent="0.25">
      <c r="A65">
        <f>IF(ISBLANK(B65),A64,IFERROR(INDEX(Reaches!$A$7:$A$60,MATCH(B65,Reaches!$B$7:$B$60,0)),-1))</f>
        <v>3</v>
      </c>
      <c r="C65" s="1" t="str">
        <f>IFERROR(INDEX(Reaches!$G$7:$G$60,MATCH(B65,Reaches!$B$7:$B$60,0)),"")</f>
        <v/>
      </c>
      <c r="D65" s="3">
        <v>16946.18</v>
      </c>
      <c r="E65">
        <v>50000</v>
      </c>
    </row>
    <row r="66" spans="1:6" x14ac:dyDescent="0.25">
      <c r="A66">
        <f>IF(ISBLANK(B66),A65,IFERROR(INDEX(Reaches!$A$7:$A$60,MATCH(B66,Reaches!$B$7:$B$60,0)),-1))</f>
        <v>3</v>
      </c>
      <c r="C66" s="1" t="str">
        <f>IFERROR(INDEX(Reaches!$G$7:$G$60,MATCH(B66,Reaches!$B$7:$B$60,0)),"")</f>
        <v/>
      </c>
      <c r="D66" s="3">
        <v>19934.349999999999</v>
      </c>
      <c r="E66">
        <v>59900</v>
      </c>
    </row>
    <row r="67" spans="1:6" x14ac:dyDescent="0.25">
      <c r="A67">
        <f>IF(ISBLANK(B67),A66,IFERROR(INDEX(Reaches!$A$7:$A$60,MATCH(B67,Reaches!$B$7:$B$60,0)),-1))</f>
        <v>3</v>
      </c>
      <c r="C67" s="1" t="str">
        <f>IFERROR(INDEX(Reaches!$G$7:$G$60,MATCH(B67,Reaches!$B$7:$B$60,0)),"")</f>
        <v/>
      </c>
      <c r="D67" s="3">
        <v>20613.66</v>
      </c>
      <c r="E67">
        <v>62000</v>
      </c>
    </row>
    <row r="68" spans="1:6" x14ac:dyDescent="0.25">
      <c r="A68">
        <f>IF(ISBLANK(B68),A67,IFERROR(INDEX(Reaches!$A$7:$A$60,MATCH(B68,Reaches!$B$7:$B$60,0)),-1))</f>
        <v>3</v>
      </c>
      <c r="C68" s="1" t="str">
        <f>IFERROR(INDEX(Reaches!$G$7:$G$60,MATCH(B68,Reaches!$B$7:$B$60,0)),"")</f>
        <v/>
      </c>
      <c r="D68" s="3">
        <v>598143.69999999995</v>
      </c>
      <c r="E68">
        <v>3100000</v>
      </c>
    </row>
    <row r="69" spans="1:6" x14ac:dyDescent="0.25">
      <c r="A69">
        <f>IF(ISBLANK(B69),A48,IFERROR(INDEX(Reaches!$A$7:$A$60,MATCH(B69,Reaches!$B$7:$B$60,0)),-1))</f>
        <v>4</v>
      </c>
      <c r="B69" t="s">
        <v>38</v>
      </c>
      <c r="C69" s="1">
        <f>IFERROR(INDEX(Reaches!$G$7:$G$60,MATCH(B69,Reaches!$B$7:$B$60,0)),"")</f>
        <v>1</v>
      </c>
      <c r="D69" s="3">
        <v>0</v>
      </c>
      <c r="E69">
        <v>0</v>
      </c>
      <c r="F69" t="s">
        <v>227</v>
      </c>
    </row>
    <row r="70" spans="1:6" x14ac:dyDescent="0.25">
      <c r="A70">
        <f>IF(ISBLANK(B70),A69,IFERROR(INDEX(Reaches!$A$7:$A$60,MATCH(B70,Reaches!$B$7:$B$60,0)),-1))</f>
        <v>4</v>
      </c>
      <c r="C70" s="1" t="str">
        <f>IFERROR(INDEX(Reaches!$G$7:$G$60,MATCH(B70,Reaches!$B$7:$B$60,0)),"")</f>
        <v/>
      </c>
      <c r="D70" s="3">
        <v>231.89</v>
      </c>
      <c r="E70">
        <v>1200</v>
      </c>
    </row>
    <row r="71" spans="1:6" x14ac:dyDescent="0.25">
      <c r="A71">
        <f>IF(ISBLANK(B71),A70,IFERROR(INDEX(Reaches!$A$7:$A$60,MATCH(B71,Reaches!$B$7:$B$60,0)),-1))</f>
        <v>4</v>
      </c>
      <c r="C71" s="1" t="str">
        <f>IFERROR(INDEX(Reaches!$G$7:$G$60,MATCH(B71,Reaches!$B$7:$B$60,0)),"")</f>
        <v/>
      </c>
      <c r="D71" s="3">
        <v>335.63</v>
      </c>
      <c r="E71">
        <v>2500</v>
      </c>
    </row>
    <row r="72" spans="1:6" x14ac:dyDescent="0.25">
      <c r="A72">
        <f>IF(ISBLANK(B72),A71,IFERROR(INDEX(Reaches!$A$7:$A$60,MATCH(B72,Reaches!$B$7:$B$60,0)),-1))</f>
        <v>4</v>
      </c>
      <c r="C72" s="1" t="str">
        <f>IFERROR(INDEX(Reaches!$G$7:$G$60,MATCH(B72,Reaches!$B$7:$B$60,0)),"")</f>
        <v/>
      </c>
      <c r="D72" s="3">
        <v>571.89</v>
      </c>
      <c r="E72">
        <v>5000</v>
      </c>
    </row>
    <row r="73" spans="1:6" x14ac:dyDescent="0.25">
      <c r="A73">
        <f>IF(ISBLANK(B73),A72,IFERROR(INDEX(Reaches!$A$7:$A$60,MATCH(B73,Reaches!$B$7:$B$60,0)),-1))</f>
        <v>4</v>
      </c>
      <c r="C73" s="1" t="str">
        <f>IFERROR(INDEX(Reaches!$G$7:$G$60,MATCH(B73,Reaches!$B$7:$B$60,0)),"")</f>
        <v/>
      </c>
      <c r="D73" s="3">
        <v>789.03</v>
      </c>
      <c r="E73">
        <v>7000</v>
      </c>
    </row>
    <row r="74" spans="1:6" x14ac:dyDescent="0.25">
      <c r="A74">
        <f>IF(ISBLANK(B74),A73,IFERROR(INDEX(Reaches!$A$7:$A$60,MATCH(B74,Reaches!$B$7:$B$60,0)),-1))</f>
        <v>4</v>
      </c>
      <c r="C74" s="1" t="str">
        <f>IFERROR(INDEX(Reaches!$G$7:$G$60,MATCH(B74,Reaches!$B$7:$B$60,0)),"")</f>
        <v/>
      </c>
      <c r="D74" s="3">
        <v>922.08</v>
      </c>
      <c r="E74">
        <v>8000</v>
      </c>
    </row>
    <row r="75" spans="1:6" x14ac:dyDescent="0.25">
      <c r="A75">
        <f>IF(ISBLANK(B75),A74,IFERROR(INDEX(Reaches!$A$7:$A$60,MATCH(B75,Reaches!$B$7:$B$60,0)),-1))</f>
        <v>4</v>
      </c>
      <c r="C75" s="1" t="str">
        <f>IFERROR(INDEX(Reaches!$G$7:$G$60,MATCH(B75,Reaches!$B$7:$B$60,0)),"")</f>
        <v/>
      </c>
      <c r="D75" s="3">
        <v>1100.18</v>
      </c>
      <c r="E75">
        <v>9000</v>
      </c>
    </row>
    <row r="76" spans="1:6" x14ac:dyDescent="0.25">
      <c r="A76">
        <f>IF(ISBLANK(B76),A75,IFERROR(INDEX(Reaches!$A$7:$A$60,MATCH(B76,Reaches!$B$7:$B$60,0)),-1))</f>
        <v>4</v>
      </c>
      <c r="C76" s="1" t="str">
        <f>IFERROR(INDEX(Reaches!$G$7:$G$60,MATCH(B76,Reaches!$B$7:$B$60,0)),"")</f>
        <v/>
      </c>
      <c r="D76" s="3">
        <v>1276.03</v>
      </c>
      <c r="E76">
        <v>10000</v>
      </c>
    </row>
    <row r="77" spans="1:6" x14ac:dyDescent="0.25">
      <c r="A77">
        <f>IF(ISBLANK(B77),A76,IFERROR(INDEX(Reaches!$A$7:$A$60,MATCH(B77,Reaches!$B$7:$B$60,0)),-1))</f>
        <v>4</v>
      </c>
      <c r="C77" s="1" t="str">
        <f>IFERROR(INDEX(Reaches!$G$7:$G$60,MATCH(B77,Reaches!$B$7:$B$60,0)),"")</f>
        <v/>
      </c>
      <c r="D77" s="3">
        <v>1450.14</v>
      </c>
      <c r="E77">
        <v>11000</v>
      </c>
    </row>
    <row r="78" spans="1:6" x14ac:dyDescent="0.25">
      <c r="A78">
        <f>IF(ISBLANK(B78),A77,IFERROR(INDEX(Reaches!$A$7:$A$60,MATCH(B78,Reaches!$B$7:$B$60,0)),-1))</f>
        <v>4</v>
      </c>
      <c r="C78" s="1" t="str">
        <f>IFERROR(INDEX(Reaches!$G$7:$G$60,MATCH(B78,Reaches!$B$7:$B$60,0)),"")</f>
        <v/>
      </c>
      <c r="D78" s="3">
        <v>1618.66</v>
      </c>
      <c r="E78">
        <v>12000</v>
      </c>
    </row>
    <row r="79" spans="1:6" x14ac:dyDescent="0.25">
      <c r="A79">
        <f>IF(ISBLANK(B79),A78,IFERROR(INDEX(Reaches!$A$7:$A$60,MATCH(B79,Reaches!$B$7:$B$60,0)),-1))</f>
        <v>4</v>
      </c>
      <c r="C79" s="1" t="str">
        <f>IFERROR(INDEX(Reaches!$G$7:$G$60,MATCH(B79,Reaches!$B$7:$B$60,0)),"")</f>
        <v/>
      </c>
      <c r="D79" s="3">
        <v>1993</v>
      </c>
      <c r="E79">
        <v>15000</v>
      </c>
    </row>
    <row r="80" spans="1:6" x14ac:dyDescent="0.25">
      <c r="A80">
        <f>IF(ISBLANK(B80),A79,IFERROR(INDEX(Reaches!$A$7:$A$60,MATCH(B80,Reaches!$B$7:$B$60,0)),-1))</f>
        <v>4</v>
      </c>
      <c r="C80" s="1" t="str">
        <f>IFERROR(INDEX(Reaches!$G$7:$G$60,MATCH(B80,Reaches!$B$7:$B$60,0)),"")</f>
        <v/>
      </c>
      <c r="D80" s="3">
        <v>2576.1</v>
      </c>
      <c r="E80">
        <v>20000</v>
      </c>
    </row>
    <row r="81" spans="1:6" x14ac:dyDescent="0.25">
      <c r="A81">
        <f>IF(ISBLANK(B81),A80,IFERROR(INDEX(Reaches!$A$7:$A$60,MATCH(B81,Reaches!$B$7:$B$60,0)),-1))</f>
        <v>4</v>
      </c>
      <c r="C81" s="1" t="str">
        <f>IFERROR(INDEX(Reaches!$G$7:$G$60,MATCH(B81,Reaches!$B$7:$B$60,0)),"")</f>
        <v/>
      </c>
      <c r="D81" s="3">
        <v>3176.57</v>
      </c>
      <c r="E81">
        <v>25000</v>
      </c>
    </row>
    <row r="82" spans="1:6" x14ac:dyDescent="0.25">
      <c r="A82">
        <f>IF(ISBLANK(B82),A81,IFERROR(INDEX(Reaches!$A$7:$A$60,MATCH(B82,Reaches!$B$7:$B$60,0)),-1))</f>
        <v>4</v>
      </c>
      <c r="C82" s="1" t="str">
        <f>IFERROR(INDEX(Reaches!$G$7:$G$60,MATCH(B82,Reaches!$B$7:$B$60,0)),"")</f>
        <v/>
      </c>
      <c r="D82" s="3">
        <v>3789.42</v>
      </c>
      <c r="E82">
        <v>30000</v>
      </c>
    </row>
    <row r="83" spans="1:6" x14ac:dyDescent="0.25">
      <c r="A83">
        <f>IF(ISBLANK(B83),A82,IFERROR(INDEX(Reaches!$A$7:$A$60,MATCH(B83,Reaches!$B$7:$B$60,0)),-1))</f>
        <v>4</v>
      </c>
      <c r="C83" s="1" t="str">
        <f>IFERROR(INDEX(Reaches!$G$7:$G$60,MATCH(B83,Reaches!$B$7:$B$60,0)),"")</f>
        <v/>
      </c>
      <c r="D83" s="3">
        <v>5058.7</v>
      </c>
      <c r="E83">
        <v>35000</v>
      </c>
    </row>
    <row r="84" spans="1:6" x14ac:dyDescent="0.25">
      <c r="A84">
        <f>IF(ISBLANK(B84),A83,IFERROR(INDEX(Reaches!$A$7:$A$60,MATCH(B84,Reaches!$B$7:$B$60,0)),-1))</f>
        <v>4</v>
      </c>
      <c r="C84" s="1" t="str">
        <f>IFERROR(INDEX(Reaches!$G$7:$G$60,MATCH(B84,Reaches!$B$7:$B$60,0)),"")</f>
        <v/>
      </c>
      <c r="D84" s="3">
        <v>6275.61</v>
      </c>
      <c r="E84">
        <v>40000</v>
      </c>
    </row>
    <row r="85" spans="1:6" x14ac:dyDescent="0.25">
      <c r="A85">
        <f>IF(ISBLANK(B85),A84,IFERROR(INDEX(Reaches!$A$7:$A$60,MATCH(B85,Reaches!$B$7:$B$60,0)),-1))</f>
        <v>4</v>
      </c>
      <c r="C85" s="1" t="str">
        <f>IFERROR(INDEX(Reaches!$G$7:$G$60,MATCH(B85,Reaches!$B$7:$B$60,0)),"")</f>
        <v/>
      </c>
      <c r="D85" s="3">
        <v>7483.48</v>
      </c>
      <c r="E85">
        <v>45000</v>
      </c>
    </row>
    <row r="86" spans="1:6" x14ac:dyDescent="0.25">
      <c r="A86">
        <f>IF(ISBLANK(B86),A85,IFERROR(INDEX(Reaches!$A$7:$A$60,MATCH(B86,Reaches!$B$7:$B$60,0)),-1))</f>
        <v>4</v>
      </c>
      <c r="C86" s="1" t="str">
        <f>IFERROR(INDEX(Reaches!$G$7:$G$60,MATCH(B86,Reaches!$B$7:$B$60,0)),"")</f>
        <v/>
      </c>
      <c r="D86" s="3">
        <v>8560.66</v>
      </c>
      <c r="E86">
        <v>50000</v>
      </c>
    </row>
    <row r="87" spans="1:6" x14ac:dyDescent="0.25">
      <c r="A87">
        <f>IF(ISBLANK(B87),A86,IFERROR(INDEX(Reaches!$A$7:$A$60,MATCH(B87,Reaches!$B$7:$B$60,0)),-1))</f>
        <v>4</v>
      </c>
      <c r="C87" s="1" t="str">
        <f>IFERROR(INDEX(Reaches!$G$7:$G$60,MATCH(B87,Reaches!$B$7:$B$60,0)),"")</f>
        <v/>
      </c>
      <c r="D87" s="3">
        <v>10167.719999999999</v>
      </c>
      <c r="E87">
        <v>62600</v>
      </c>
    </row>
    <row r="88" spans="1:6" x14ac:dyDescent="0.25">
      <c r="A88">
        <f>IF(ISBLANK(B88),A87,IFERROR(INDEX(Reaches!$A$7:$A$60,MATCH(B88,Reaches!$B$7:$B$60,0)),-1))</f>
        <v>4</v>
      </c>
      <c r="C88" s="1" t="str">
        <f>IFERROR(INDEX(Reaches!$G$7:$G$60,MATCH(B88,Reaches!$B$7:$B$60,0)),"")</f>
        <v/>
      </c>
      <c r="D88" s="3">
        <v>10502.62</v>
      </c>
      <c r="E88">
        <v>65000</v>
      </c>
    </row>
    <row r="89" spans="1:6" x14ac:dyDescent="0.25">
      <c r="A89">
        <f>IF(ISBLANK(B89),A88,IFERROR(INDEX(Reaches!$A$7:$A$60,MATCH(B89,Reaches!$B$7:$B$60,0)),-1))</f>
        <v>4</v>
      </c>
      <c r="C89" s="1" t="str">
        <f>IFERROR(INDEX(Reaches!$G$7:$G$60,MATCH(B89,Reaches!$B$7:$B$60,0)),"")</f>
        <v/>
      </c>
      <c r="D89" s="3">
        <v>18566.16</v>
      </c>
      <c r="E89">
        <v>130000</v>
      </c>
    </row>
    <row r="90" spans="1:6" x14ac:dyDescent="0.25">
      <c r="A90">
        <f>IF(ISBLANK(B90),A89,IFERROR(INDEX(Reaches!$A$7:$A$60,MATCH(B90,Reaches!$B$7:$B$60,0)),-1))</f>
        <v>4</v>
      </c>
      <c r="C90" s="1" t="str">
        <f>IFERROR(INDEX(Reaches!$G$7:$G$60,MATCH(B90,Reaches!$B$7:$B$60,0)),"")</f>
        <v/>
      </c>
      <c r="D90" s="3">
        <v>30884.58</v>
      </c>
      <c r="E90">
        <v>260000</v>
      </c>
    </row>
    <row r="91" spans="1:6" x14ac:dyDescent="0.25">
      <c r="A91">
        <f>IF(ISBLANK(B91),A90,IFERROR(INDEX(Reaches!$A$7:$A$60,MATCH(B91,Reaches!$B$7:$B$60,0)),-1))</f>
        <v>4</v>
      </c>
      <c r="C91" s="1" t="str">
        <f>IFERROR(INDEX(Reaches!$G$7:$G$60,MATCH(B91,Reaches!$B$7:$B$60,0)),"")</f>
        <v/>
      </c>
      <c r="D91" s="3">
        <v>49574.48</v>
      </c>
      <c r="E91">
        <v>520000</v>
      </c>
    </row>
    <row r="92" spans="1:6" x14ac:dyDescent="0.25">
      <c r="A92">
        <f>IF(ISBLANK(B92),A91,IFERROR(INDEX(Reaches!$A$7:$A$60,MATCH(B92,Reaches!$B$7:$B$60,0)),-1))</f>
        <v>4</v>
      </c>
      <c r="C92" s="1" t="str">
        <f>IFERROR(INDEX(Reaches!$G$7:$G$60,MATCH(B92,Reaches!$B$7:$B$60,0)),"")</f>
        <v/>
      </c>
      <c r="D92" s="3">
        <v>198246.39999999999</v>
      </c>
      <c r="E92">
        <v>5385000</v>
      </c>
    </row>
    <row r="93" spans="1:6" x14ac:dyDescent="0.25">
      <c r="A93">
        <f>IF(ISBLANK(B93),A92,IFERROR(INDEX(Reaches!$A$7:$A$60,MATCH(B93,Reaches!$B$7:$B$60,0)),-1))</f>
        <v>5</v>
      </c>
      <c r="B93" t="s">
        <v>21</v>
      </c>
      <c r="C93" s="1">
        <f>IFERROR(INDEX(Reaches!$G$7:$G$60,MATCH(B93,Reaches!$B$7:$B$60,0)),"")</f>
        <v>1</v>
      </c>
      <c r="D93" s="3">
        <v>0</v>
      </c>
      <c r="E93">
        <v>0</v>
      </c>
      <c r="F93" t="s">
        <v>228</v>
      </c>
    </row>
    <row r="94" spans="1:6" x14ac:dyDescent="0.25">
      <c r="A94">
        <f>IF(ISBLANK(B94),A93,IFERROR(INDEX(Reaches!$A$7:$A$60,MATCH(B94,Reaches!$B$7:$B$60,0)),-1))</f>
        <v>5</v>
      </c>
      <c r="C94" s="1" t="str">
        <f>IFERROR(INDEX(Reaches!$G$7:$G$60,MATCH(B94,Reaches!$B$7:$B$60,0)),"")</f>
        <v/>
      </c>
      <c r="D94" s="3">
        <v>45</v>
      </c>
      <c r="E94">
        <v>80</v>
      </c>
    </row>
    <row r="95" spans="1:6" x14ac:dyDescent="0.25">
      <c r="A95">
        <f>IF(ISBLANK(B95),A94,IFERROR(INDEX(Reaches!$A$7:$A$60,MATCH(B95,Reaches!$B$7:$B$60,0)),-1))</f>
        <v>5</v>
      </c>
      <c r="C95" s="1" t="str">
        <f>IFERROR(INDEX(Reaches!$G$7:$G$60,MATCH(B95,Reaches!$B$7:$B$60,0)),"")</f>
        <v/>
      </c>
      <c r="D95" s="3">
        <v>54</v>
      </c>
      <c r="E95">
        <v>100</v>
      </c>
    </row>
    <row r="96" spans="1:6" x14ac:dyDescent="0.25">
      <c r="A96">
        <f>IF(ISBLANK(B96),A95,IFERROR(INDEX(Reaches!$A$7:$A$60,MATCH(B96,Reaches!$B$7:$B$60,0)),-1))</f>
        <v>5</v>
      </c>
      <c r="C96" s="1" t="str">
        <f>IFERROR(INDEX(Reaches!$G$7:$G$60,MATCH(B96,Reaches!$B$7:$B$60,0)),"")</f>
        <v/>
      </c>
      <c r="D96" s="3">
        <v>97</v>
      </c>
      <c r="E96">
        <v>250</v>
      </c>
    </row>
    <row r="97" spans="1:5" x14ac:dyDescent="0.25">
      <c r="A97">
        <f>IF(ISBLANK(B97),A96,IFERROR(INDEX(Reaches!$A$7:$A$60,MATCH(B97,Reaches!$B$7:$B$60,0)),-1))</f>
        <v>5</v>
      </c>
      <c r="C97" s="1" t="str">
        <f>IFERROR(INDEX(Reaches!$G$7:$G$60,MATCH(B97,Reaches!$B$7:$B$60,0)),"")</f>
        <v/>
      </c>
      <c r="D97" s="3">
        <v>155</v>
      </c>
      <c r="E97">
        <v>500</v>
      </c>
    </row>
    <row r="98" spans="1:5" x14ac:dyDescent="0.25">
      <c r="A98">
        <f>IF(ISBLANK(B98),A97,IFERROR(INDEX(Reaches!$A$7:$A$60,MATCH(B98,Reaches!$B$7:$B$60,0)),-1))</f>
        <v>5</v>
      </c>
      <c r="C98" s="1" t="str">
        <f>IFERROR(INDEX(Reaches!$G$7:$G$60,MATCH(B98,Reaches!$B$7:$B$60,0)),"")</f>
        <v/>
      </c>
      <c r="D98" s="3">
        <v>248</v>
      </c>
      <c r="E98">
        <v>1000</v>
      </c>
    </row>
    <row r="99" spans="1:5" x14ac:dyDescent="0.25">
      <c r="A99">
        <f>IF(ISBLANK(B99),A98,IFERROR(INDEX(Reaches!$A$7:$A$60,MATCH(B99,Reaches!$B$7:$B$60,0)),-1))</f>
        <v>5</v>
      </c>
      <c r="C99" s="1" t="str">
        <f>IFERROR(INDEX(Reaches!$G$7:$G$60,MATCH(B99,Reaches!$B$7:$B$60,0)),"")</f>
        <v/>
      </c>
      <c r="D99" s="3">
        <v>332</v>
      </c>
      <c r="E99">
        <v>1500</v>
      </c>
    </row>
    <row r="100" spans="1:5" x14ac:dyDescent="0.25">
      <c r="A100">
        <f>IF(ISBLANK(B100),A99,IFERROR(INDEX(Reaches!$A$7:$A$60,MATCH(B100,Reaches!$B$7:$B$60,0)),-1))</f>
        <v>5</v>
      </c>
      <c r="C100" s="1" t="str">
        <f>IFERROR(INDEX(Reaches!$G$7:$G$60,MATCH(B100,Reaches!$B$7:$B$60,0)),"")</f>
        <v/>
      </c>
      <c r="D100" s="3">
        <v>408</v>
      </c>
      <c r="E100">
        <v>2000</v>
      </c>
    </row>
    <row r="101" spans="1:5" x14ac:dyDescent="0.25">
      <c r="A101">
        <f>IF(ISBLANK(B101),A100,IFERROR(INDEX(Reaches!$A$7:$A$60,MATCH(B101,Reaches!$B$7:$B$60,0)),-1))</f>
        <v>5</v>
      </c>
      <c r="C101" s="1" t="str">
        <f>IFERROR(INDEX(Reaches!$G$7:$G$60,MATCH(B101,Reaches!$B$7:$B$60,0)),"")</f>
        <v/>
      </c>
      <c r="D101" s="3">
        <v>549</v>
      </c>
      <c r="E101">
        <v>3000</v>
      </c>
    </row>
    <row r="102" spans="1:5" x14ac:dyDescent="0.25">
      <c r="A102">
        <f>IF(ISBLANK(B102),A101,IFERROR(INDEX(Reaches!$A$7:$A$60,MATCH(B102,Reaches!$B$7:$B$60,0)),-1))</f>
        <v>5</v>
      </c>
      <c r="C102" s="1" t="str">
        <f>IFERROR(INDEX(Reaches!$G$7:$G$60,MATCH(B102,Reaches!$B$7:$B$60,0)),"")</f>
        <v/>
      </c>
      <c r="D102" s="3">
        <v>657</v>
      </c>
      <c r="E102">
        <v>3800</v>
      </c>
    </row>
    <row r="103" spans="1:5" x14ac:dyDescent="0.25">
      <c r="A103">
        <f>IF(ISBLANK(B103),A102,IFERROR(INDEX(Reaches!$A$7:$A$60,MATCH(B103,Reaches!$B$7:$B$60,0)),-1))</f>
        <v>5</v>
      </c>
      <c r="C103" s="1" t="str">
        <f>IFERROR(INDEX(Reaches!$G$7:$G$60,MATCH(B103,Reaches!$B$7:$B$60,0)),"")</f>
        <v/>
      </c>
      <c r="D103" s="3">
        <v>814</v>
      </c>
      <c r="E103">
        <v>5000</v>
      </c>
    </row>
    <row r="104" spans="1:5" x14ac:dyDescent="0.25">
      <c r="A104">
        <f>IF(ISBLANK(B104),A103,IFERROR(INDEX(Reaches!$A$7:$A$60,MATCH(B104,Reaches!$B$7:$B$60,0)),-1))</f>
        <v>5</v>
      </c>
      <c r="C104" s="1" t="str">
        <f>IFERROR(INDEX(Reaches!$G$7:$G$60,MATCH(B104,Reaches!$B$7:$B$60,0)),"")</f>
        <v/>
      </c>
      <c r="D104" s="3">
        <v>1070</v>
      </c>
      <c r="E104">
        <v>7000</v>
      </c>
    </row>
    <row r="105" spans="1:5" x14ac:dyDescent="0.25">
      <c r="A105">
        <f>IF(ISBLANK(B105),A104,IFERROR(INDEX(Reaches!$A$7:$A$60,MATCH(B105,Reaches!$B$7:$B$60,0)),-1))</f>
        <v>5</v>
      </c>
      <c r="C105" s="1" t="str">
        <f>IFERROR(INDEX(Reaches!$G$7:$G$60,MATCH(B105,Reaches!$B$7:$B$60,0)),"")</f>
        <v/>
      </c>
      <c r="D105" s="3">
        <v>1342</v>
      </c>
      <c r="E105">
        <v>9000</v>
      </c>
    </row>
    <row r="106" spans="1:5" x14ac:dyDescent="0.25">
      <c r="A106">
        <f>IF(ISBLANK(B106),A105,IFERROR(INDEX(Reaches!$A$7:$A$60,MATCH(B106,Reaches!$B$7:$B$60,0)),-1))</f>
        <v>5</v>
      </c>
      <c r="C106" s="1" t="str">
        <f>IFERROR(INDEX(Reaches!$G$7:$G$60,MATCH(B106,Reaches!$B$7:$B$60,0)),"")</f>
        <v/>
      </c>
      <c r="D106" s="3">
        <v>1639</v>
      </c>
      <c r="E106">
        <v>11000</v>
      </c>
    </row>
    <row r="107" spans="1:5" x14ac:dyDescent="0.25">
      <c r="A107">
        <f>IF(ISBLANK(B107),A106,IFERROR(INDEX(Reaches!$A$7:$A$60,MATCH(B107,Reaches!$B$7:$B$60,0)),-1))</f>
        <v>5</v>
      </c>
      <c r="C107" s="1" t="str">
        <f>IFERROR(INDEX(Reaches!$G$7:$G$60,MATCH(B107,Reaches!$B$7:$B$60,0)),"")</f>
        <v/>
      </c>
      <c r="D107" s="3">
        <v>1944</v>
      </c>
      <c r="E107">
        <v>13000</v>
      </c>
    </row>
    <row r="108" spans="1:5" x14ac:dyDescent="0.25">
      <c r="A108">
        <f>IF(ISBLANK(B108),A107,IFERROR(INDEX(Reaches!$A$7:$A$60,MATCH(B108,Reaches!$B$7:$B$60,0)),-1))</f>
        <v>5</v>
      </c>
      <c r="C108" s="1" t="str">
        <f>IFERROR(INDEX(Reaches!$G$7:$G$60,MATCH(B108,Reaches!$B$7:$B$60,0)),"")</f>
        <v/>
      </c>
      <c r="D108" s="3">
        <v>2265</v>
      </c>
      <c r="E108">
        <v>15000</v>
      </c>
    </row>
    <row r="109" spans="1:5" x14ac:dyDescent="0.25">
      <c r="A109">
        <f>IF(ISBLANK(B109),A108,IFERROR(INDEX(Reaches!$A$7:$A$60,MATCH(B109,Reaches!$B$7:$B$60,0)),-1))</f>
        <v>5</v>
      </c>
      <c r="C109" s="1" t="str">
        <f>IFERROR(INDEX(Reaches!$G$7:$G$60,MATCH(B109,Reaches!$B$7:$B$60,0)),"")</f>
        <v/>
      </c>
      <c r="D109" s="3">
        <v>2691</v>
      </c>
      <c r="E109">
        <v>18000</v>
      </c>
    </row>
    <row r="110" spans="1:5" x14ac:dyDescent="0.25">
      <c r="A110">
        <f>IF(ISBLANK(B110),A109,IFERROR(INDEX(Reaches!$A$7:$A$60,MATCH(B110,Reaches!$B$7:$B$60,0)),-1))</f>
        <v>5</v>
      </c>
      <c r="C110" s="1" t="str">
        <f>IFERROR(INDEX(Reaches!$G$7:$G$60,MATCH(B110,Reaches!$B$7:$B$60,0)),"")</f>
        <v/>
      </c>
      <c r="D110" s="3">
        <v>3101</v>
      </c>
      <c r="E110">
        <v>21000</v>
      </c>
    </row>
    <row r="111" spans="1:5" x14ac:dyDescent="0.25">
      <c r="A111">
        <f>IF(ISBLANK(B111),A110,IFERROR(INDEX(Reaches!$A$7:$A$60,MATCH(B111,Reaches!$B$7:$B$60,0)),-1))</f>
        <v>5</v>
      </c>
      <c r="C111" s="1" t="str">
        <f>IFERROR(INDEX(Reaches!$G$7:$G$60,MATCH(B111,Reaches!$B$7:$B$60,0)),"")</f>
        <v/>
      </c>
      <c r="D111" s="3">
        <v>3657</v>
      </c>
      <c r="E111">
        <v>24700</v>
      </c>
    </row>
    <row r="112" spans="1:5" x14ac:dyDescent="0.25">
      <c r="A112">
        <f>IF(ISBLANK(B112),A111,IFERROR(INDEX(Reaches!$A$7:$A$60,MATCH(B112,Reaches!$B$7:$B$60,0)),-1))</f>
        <v>5</v>
      </c>
      <c r="C112" s="1" t="str">
        <f>IFERROR(INDEX(Reaches!$G$7:$G$60,MATCH(B112,Reaches!$B$7:$B$60,0)),"")</f>
        <v/>
      </c>
      <c r="D112" s="3">
        <v>4422</v>
      </c>
      <c r="E112">
        <v>30000</v>
      </c>
    </row>
    <row r="113" spans="1:6" x14ac:dyDescent="0.25">
      <c r="A113">
        <f>IF(ISBLANK(B113),A112,IFERROR(INDEX(Reaches!$A$7:$A$60,MATCH(B113,Reaches!$B$7:$B$60,0)),-1))</f>
        <v>5</v>
      </c>
      <c r="C113" s="1" t="str">
        <f>IFERROR(INDEX(Reaches!$G$7:$G$60,MATCH(B113,Reaches!$B$7:$B$60,0)),"")</f>
        <v/>
      </c>
      <c r="D113" s="3">
        <v>15000</v>
      </c>
      <c r="E113">
        <v>80000</v>
      </c>
    </row>
    <row r="114" spans="1:6" x14ac:dyDescent="0.25">
      <c r="A114">
        <f>IF(ISBLANK(B114),A113,IFERROR(INDEX(Reaches!$A$7:$A$60,MATCH(B114,Reaches!$B$7:$B$60,0)),-1))</f>
        <v>5</v>
      </c>
      <c r="C114" s="1"/>
      <c r="D114">
        <f>ROUND(D113+(E114-E113)*(D113-D112)/(E113-E112),0)</f>
        <v>209635</v>
      </c>
      <c r="E114">
        <v>999999</v>
      </c>
    </row>
    <row r="115" spans="1:6" x14ac:dyDescent="0.25">
      <c r="A115">
        <f>IF(ISBLANK(B115),A113,IFERROR(INDEX(Reaches!$A$7:$A$60,MATCH(B115,Reaches!$B$7:$B$60,0)),-1))</f>
        <v>6</v>
      </c>
      <c r="B115" t="s">
        <v>36</v>
      </c>
      <c r="C115" s="1">
        <f>IFERROR(INDEX(Reaches!$G$7:$G$60,MATCH(B115,Reaches!$B$7:$B$60,0)),"")</f>
        <v>1</v>
      </c>
      <c r="D115" s="3">
        <v>0</v>
      </c>
      <c r="E115">
        <v>0</v>
      </c>
      <c r="F115" t="s">
        <v>227</v>
      </c>
    </row>
    <row r="116" spans="1:6" x14ac:dyDescent="0.25">
      <c r="A116">
        <f>IF(ISBLANK(B116),A115,IFERROR(INDEX(Reaches!$A$7:$A$60,MATCH(B116,Reaches!$B$7:$B$60,0)),-1))</f>
        <v>6</v>
      </c>
      <c r="C116" s="1" t="str">
        <f>IFERROR(INDEX(Reaches!$G$7:$G$60,MATCH(B116,Reaches!$B$7:$B$60,0)),"")</f>
        <v/>
      </c>
      <c r="D116" s="3">
        <v>131.22999999999996</v>
      </c>
      <c r="E116">
        <v>1200</v>
      </c>
    </row>
    <row r="117" spans="1:6" x14ac:dyDescent="0.25">
      <c r="A117">
        <f>IF(ISBLANK(B117),A116,IFERROR(INDEX(Reaches!$A$7:$A$60,MATCH(B117,Reaches!$B$7:$B$60,0)),-1))</f>
        <v>6</v>
      </c>
      <c r="C117" s="1" t="str">
        <f>IFERROR(INDEX(Reaches!$G$7:$G$60,MATCH(B117,Reaches!$B$7:$B$60,0)),"")</f>
        <v/>
      </c>
      <c r="D117" s="3">
        <v>188.38</v>
      </c>
      <c r="E117">
        <v>2000</v>
      </c>
    </row>
    <row r="118" spans="1:6" x14ac:dyDescent="0.25">
      <c r="A118">
        <f>IF(ISBLANK(B118),A117,IFERROR(INDEX(Reaches!$A$7:$A$60,MATCH(B118,Reaches!$B$7:$B$60,0)),-1))</f>
        <v>6</v>
      </c>
      <c r="C118" s="1" t="str">
        <f>IFERROR(INDEX(Reaches!$G$7:$G$60,MATCH(B118,Reaches!$B$7:$B$60,0)),"")</f>
        <v/>
      </c>
      <c r="D118" s="3">
        <v>251.1099999999999</v>
      </c>
      <c r="E118">
        <v>3000</v>
      </c>
    </row>
    <row r="119" spans="1:6" x14ac:dyDescent="0.25">
      <c r="A119">
        <f>IF(ISBLANK(B119),A118,IFERROR(INDEX(Reaches!$A$7:$A$60,MATCH(B119,Reaches!$B$7:$B$60,0)),-1))</f>
        <v>6</v>
      </c>
      <c r="C119" s="1" t="str">
        <f>IFERROR(INDEX(Reaches!$G$7:$G$60,MATCH(B119,Reaches!$B$7:$B$60,0)),"")</f>
        <v/>
      </c>
      <c r="D119" s="3">
        <v>419.83999999999992</v>
      </c>
      <c r="E119">
        <v>6000</v>
      </c>
    </row>
    <row r="120" spans="1:6" x14ac:dyDescent="0.25">
      <c r="A120">
        <f>IF(ISBLANK(B120),A119,IFERROR(INDEX(Reaches!$A$7:$A$60,MATCH(B120,Reaches!$B$7:$B$60,0)),-1))</f>
        <v>6</v>
      </c>
      <c r="C120" s="1" t="str">
        <f>IFERROR(INDEX(Reaches!$G$7:$G$60,MATCH(B120,Reaches!$B$7:$B$60,0)),"")</f>
        <v/>
      </c>
      <c r="D120" s="3">
        <v>568.92000000000007</v>
      </c>
      <c r="E120">
        <v>9000</v>
      </c>
    </row>
    <row r="121" spans="1:6" x14ac:dyDescent="0.25">
      <c r="A121">
        <f>IF(ISBLANK(B121),A120,IFERROR(INDEX(Reaches!$A$7:$A$60,MATCH(B121,Reaches!$B$7:$B$60,0)),-1))</f>
        <v>6</v>
      </c>
      <c r="C121" s="1" t="str">
        <f>IFERROR(INDEX(Reaches!$G$7:$G$60,MATCH(B121,Reaches!$B$7:$B$60,0)),"")</f>
        <v/>
      </c>
      <c r="D121" s="3">
        <v>710.04</v>
      </c>
      <c r="E121">
        <v>12000</v>
      </c>
    </row>
    <row r="122" spans="1:6" x14ac:dyDescent="0.25">
      <c r="A122">
        <f>IF(ISBLANK(B122),A121,IFERROR(INDEX(Reaches!$A$7:$A$60,MATCH(B122,Reaches!$B$7:$B$60,0)),-1))</f>
        <v>6</v>
      </c>
      <c r="C122" s="1" t="str">
        <f>IFERROR(INDEX(Reaches!$G$7:$G$60,MATCH(B122,Reaches!$B$7:$B$60,0)),"")</f>
        <v/>
      </c>
      <c r="D122" s="3">
        <v>856.75999999999976</v>
      </c>
      <c r="E122">
        <v>15000</v>
      </c>
    </row>
    <row r="123" spans="1:6" x14ac:dyDescent="0.25">
      <c r="A123">
        <f>IF(ISBLANK(B123),A122,IFERROR(INDEX(Reaches!$A$7:$A$60,MATCH(B123,Reaches!$B$7:$B$60,0)),-1))</f>
        <v>6</v>
      </c>
      <c r="C123" s="1" t="str">
        <f>IFERROR(INDEX(Reaches!$G$7:$G$60,MATCH(B123,Reaches!$B$7:$B$60,0)),"")</f>
        <v/>
      </c>
      <c r="D123" s="3">
        <v>1010.3400000000001</v>
      </c>
      <c r="E123">
        <v>18000</v>
      </c>
    </row>
    <row r="124" spans="1:6" x14ac:dyDescent="0.25">
      <c r="A124">
        <f>IF(ISBLANK(B124),A123,IFERROR(INDEX(Reaches!$A$7:$A$60,MATCH(B124,Reaches!$B$7:$B$60,0)),-1))</f>
        <v>6</v>
      </c>
      <c r="C124" s="1" t="str">
        <f>IFERROR(INDEX(Reaches!$G$7:$G$60,MATCH(B124,Reaches!$B$7:$B$60,0)),"")</f>
        <v/>
      </c>
      <c r="D124" s="3">
        <v>1120.54</v>
      </c>
      <c r="E124">
        <v>20000</v>
      </c>
    </row>
    <row r="125" spans="1:6" x14ac:dyDescent="0.25">
      <c r="A125">
        <f>IF(ISBLANK(B125),A124,IFERROR(INDEX(Reaches!$A$7:$A$60,MATCH(B125,Reaches!$B$7:$B$60,0)),-1))</f>
        <v>6</v>
      </c>
      <c r="C125" s="1" t="str">
        <f>IFERROR(INDEX(Reaches!$G$7:$G$60,MATCH(B125,Reaches!$B$7:$B$60,0)),"")</f>
        <v/>
      </c>
      <c r="D125" s="3">
        <v>1422.2299999999996</v>
      </c>
      <c r="E125">
        <v>25000</v>
      </c>
    </row>
    <row r="126" spans="1:6" x14ac:dyDescent="0.25">
      <c r="A126">
        <f>IF(ISBLANK(B126),A125,IFERROR(INDEX(Reaches!$A$7:$A$60,MATCH(B126,Reaches!$B$7:$B$60,0)),-1))</f>
        <v>6</v>
      </c>
      <c r="C126" s="1" t="str">
        <f>IFERROR(INDEX(Reaches!$G$7:$G$60,MATCH(B126,Reaches!$B$7:$B$60,0)),"")</f>
        <v/>
      </c>
      <c r="D126" s="3">
        <v>1740.9699999999993</v>
      </c>
      <c r="E126">
        <v>30000</v>
      </c>
    </row>
    <row r="127" spans="1:6" x14ac:dyDescent="0.25">
      <c r="A127">
        <f>IF(ISBLANK(B127),A126,IFERROR(INDEX(Reaches!$A$7:$A$60,MATCH(B127,Reaches!$B$7:$B$60,0)),-1))</f>
        <v>6</v>
      </c>
      <c r="C127" s="1" t="str">
        <f>IFERROR(INDEX(Reaches!$G$7:$G$60,MATCH(B127,Reaches!$B$7:$B$60,0)),"")</f>
        <v/>
      </c>
      <c r="D127" s="3">
        <v>2077.4699999999993</v>
      </c>
      <c r="E127">
        <v>35000</v>
      </c>
    </row>
    <row r="128" spans="1:6" x14ac:dyDescent="0.25">
      <c r="A128">
        <f>IF(ISBLANK(B128),A127,IFERROR(INDEX(Reaches!$A$7:$A$60,MATCH(B128,Reaches!$B$7:$B$60,0)),-1))</f>
        <v>6</v>
      </c>
      <c r="C128" s="1" t="str">
        <f>IFERROR(INDEX(Reaches!$G$7:$G$60,MATCH(B128,Reaches!$B$7:$B$60,0)),"")</f>
        <v/>
      </c>
      <c r="D128" s="3">
        <v>2428.2900000000009</v>
      </c>
      <c r="E128">
        <v>40000</v>
      </c>
    </row>
    <row r="129" spans="1:6" x14ac:dyDescent="0.25">
      <c r="A129">
        <f>IF(ISBLANK(B129),A128,IFERROR(INDEX(Reaches!$A$7:$A$60,MATCH(B129,Reaches!$B$7:$B$60,0)),-1))</f>
        <v>6</v>
      </c>
      <c r="C129" s="1" t="str">
        <f>IFERROR(INDEX(Reaches!$G$7:$G$60,MATCH(B129,Reaches!$B$7:$B$60,0)),"")</f>
        <v/>
      </c>
      <c r="D129" s="3">
        <v>3169.1200000000008</v>
      </c>
      <c r="E129">
        <v>50000</v>
      </c>
    </row>
    <row r="130" spans="1:6" x14ac:dyDescent="0.25">
      <c r="A130">
        <f>IF(ISBLANK(B130),A129,IFERROR(INDEX(Reaches!$A$7:$A$60,MATCH(B130,Reaches!$B$7:$B$60,0)),-1))</f>
        <v>6</v>
      </c>
      <c r="C130" s="1" t="str">
        <f>IFERROR(INDEX(Reaches!$G$7:$G$60,MATCH(B130,Reaches!$B$7:$B$60,0)),"")</f>
        <v/>
      </c>
      <c r="D130" s="3">
        <v>3977.41</v>
      </c>
      <c r="E130">
        <v>60000</v>
      </c>
    </row>
    <row r="131" spans="1:6" x14ac:dyDescent="0.25">
      <c r="A131">
        <f>IF(ISBLANK(B131),A130,IFERROR(INDEX(Reaches!$A$7:$A$60,MATCH(B131,Reaches!$B$7:$B$60,0)),-1))</f>
        <v>6</v>
      </c>
      <c r="C131" s="1" t="str">
        <f>IFERROR(INDEX(Reaches!$G$7:$G$60,MATCH(B131,Reaches!$B$7:$B$60,0)),"")</f>
        <v/>
      </c>
      <c r="D131" s="3">
        <v>4820.9699999999975</v>
      </c>
      <c r="E131">
        <v>70000</v>
      </c>
    </row>
    <row r="132" spans="1:6" x14ac:dyDescent="0.25">
      <c r="A132">
        <f>IF(ISBLANK(B132),A131,IFERROR(INDEX(Reaches!$A$7:$A$60,MATCH(B132,Reaches!$B$7:$B$60,0)),-1))</f>
        <v>6</v>
      </c>
      <c r="C132" s="1" t="str">
        <f>IFERROR(INDEX(Reaches!$G$7:$G$60,MATCH(B132,Reaches!$B$7:$B$60,0)),"")</f>
        <v/>
      </c>
      <c r="D132" s="3">
        <v>5617.880000000001</v>
      </c>
      <c r="E132">
        <v>80000</v>
      </c>
    </row>
    <row r="133" spans="1:6" x14ac:dyDescent="0.25">
      <c r="A133">
        <f>IF(ISBLANK(B133),A132,IFERROR(INDEX(Reaches!$A$7:$A$60,MATCH(B133,Reaches!$B$7:$B$60,0)),-1))</f>
        <v>6</v>
      </c>
      <c r="C133" s="1" t="str">
        <f>IFERROR(INDEX(Reaches!$G$7:$G$60,MATCH(B133,Reaches!$B$7:$B$60,0)),"")</f>
        <v/>
      </c>
      <c r="D133" s="3">
        <v>6774.9399999999987</v>
      </c>
      <c r="E133">
        <v>94000</v>
      </c>
    </row>
    <row r="134" spans="1:6" x14ac:dyDescent="0.25">
      <c r="A134">
        <f>IF(ISBLANK(B134),A133,IFERROR(INDEX(Reaches!$A$7:$A$60,MATCH(B134,Reaches!$B$7:$B$60,0)),-1))</f>
        <v>6</v>
      </c>
      <c r="C134" s="1" t="str">
        <f>IFERROR(INDEX(Reaches!$G$7:$G$60,MATCH(B134,Reaches!$B$7:$B$60,0)),"")</f>
        <v/>
      </c>
      <c r="D134" s="3">
        <v>7196.4199999999983</v>
      </c>
      <c r="E134">
        <v>100000</v>
      </c>
    </row>
    <row r="135" spans="1:6" x14ac:dyDescent="0.25">
      <c r="A135">
        <f>IF(ISBLANK(B135),A134,IFERROR(INDEX(Reaches!$A$7:$A$60,MATCH(B135,Reaches!$B$7:$B$60,0)),-1))</f>
        <v>6</v>
      </c>
      <c r="C135" s="1" t="str">
        <f>IFERROR(INDEX(Reaches!$G$7:$G$60,MATCH(B135,Reaches!$B$7:$B$60,0)),"")</f>
        <v/>
      </c>
      <c r="D135" s="3">
        <v>13750.410000000003</v>
      </c>
      <c r="E135">
        <v>200000</v>
      </c>
    </row>
    <row r="136" spans="1:6" x14ac:dyDescent="0.25">
      <c r="A136">
        <f>IF(ISBLANK(B136),A135,IFERROR(INDEX(Reaches!$A$7:$A$60,MATCH(B136,Reaches!$B$7:$B$60,0)),-1))</f>
        <v>6</v>
      </c>
      <c r="C136" s="1" t="str">
        <f>IFERROR(INDEX(Reaches!$G$7:$G$60,MATCH(B136,Reaches!$B$7:$B$60,0)),"")</f>
        <v/>
      </c>
      <c r="D136" s="3">
        <v>23444.36</v>
      </c>
      <c r="E136">
        <v>400000</v>
      </c>
    </row>
    <row r="137" spans="1:6" x14ac:dyDescent="0.25">
      <c r="A137">
        <f>IF(ISBLANK(B137),A136,IFERROR(INDEX(Reaches!$A$7:$A$60,MATCH(B137,Reaches!$B$7:$B$60,0)),-1))</f>
        <v>6</v>
      </c>
      <c r="C137" s="1" t="str">
        <f>IFERROR(INDEX(Reaches!$G$7:$G$60,MATCH(B137,Reaches!$B$7:$B$60,0)),"")</f>
        <v/>
      </c>
      <c r="D137" s="3">
        <v>36154.699999999997</v>
      </c>
      <c r="E137">
        <v>800000</v>
      </c>
    </row>
    <row r="138" spans="1:6" x14ac:dyDescent="0.25">
      <c r="A138">
        <f>IF(ISBLANK(B138),A137,IFERROR(INDEX(Reaches!$A$7:$A$60,MATCH(B138,Reaches!$B$7:$B$60,0)),-1))</f>
        <v>6</v>
      </c>
      <c r="C138" s="1" t="str">
        <f>IFERROR(INDEX(Reaches!$G$7:$G$60,MATCH(B138,Reaches!$B$7:$B$60,0)),"")</f>
        <v/>
      </c>
      <c r="D138" s="3">
        <v>105552.69999999995</v>
      </c>
      <c r="E138">
        <v>3400000</v>
      </c>
    </row>
    <row r="139" spans="1:6" x14ac:dyDescent="0.25">
      <c r="A139">
        <f>IF(ISBLANK(B139),A138,IFERROR(INDEX(Reaches!$A$7:$A$60,MATCH(B139,Reaches!$B$7:$B$60,0)),-1))</f>
        <v>7</v>
      </c>
      <c r="B139" t="s">
        <v>34</v>
      </c>
      <c r="C139" s="1">
        <f>IFERROR(INDEX(Reaches!$G$7:$G$60,MATCH(B139,Reaches!$B$7:$B$60,0)),"")</f>
        <v>2</v>
      </c>
      <c r="D139" s="3">
        <v>0</v>
      </c>
      <c r="E139">
        <v>0</v>
      </c>
      <c r="F139" t="s">
        <v>227</v>
      </c>
    </row>
    <row r="140" spans="1:6" x14ac:dyDescent="0.25">
      <c r="A140">
        <f>IF(ISBLANK(B140),A139,IFERROR(INDEX(Reaches!$A$7:$A$60,MATCH(B140,Reaches!$B$7:$B$60,0)),-1))</f>
        <v>7</v>
      </c>
      <c r="C140" s="1" t="str">
        <f>IFERROR(INDEX(Reaches!$G$7:$G$60,MATCH(B140,Reaches!$B$7:$B$60,0)),"")</f>
        <v/>
      </c>
      <c r="D140" s="3">
        <v>455.68</v>
      </c>
      <c r="E140">
        <v>1200</v>
      </c>
    </row>
    <row r="141" spans="1:6" x14ac:dyDescent="0.25">
      <c r="A141">
        <f>IF(ISBLANK(B141),A140,IFERROR(INDEX(Reaches!$A$7:$A$60,MATCH(B141,Reaches!$B$7:$B$60,0)),-1))</f>
        <v>7</v>
      </c>
      <c r="C141" s="1" t="str">
        <f>IFERROR(INDEX(Reaches!$G$7:$G$60,MATCH(B141,Reaches!$B$7:$B$60,0)),"")</f>
        <v/>
      </c>
      <c r="D141" s="3">
        <v>664.82</v>
      </c>
      <c r="E141">
        <v>2000</v>
      </c>
    </row>
    <row r="142" spans="1:6" x14ac:dyDescent="0.25">
      <c r="A142">
        <f>IF(ISBLANK(B142),A141,IFERROR(INDEX(Reaches!$A$7:$A$60,MATCH(B142,Reaches!$B$7:$B$60,0)),-1))</f>
        <v>7</v>
      </c>
      <c r="C142" s="1" t="str">
        <f>IFERROR(INDEX(Reaches!$G$7:$G$60,MATCH(B142,Reaches!$B$7:$B$60,0)),"")</f>
        <v/>
      </c>
      <c r="D142" s="3">
        <v>918.01</v>
      </c>
      <c r="E142">
        <v>3000</v>
      </c>
    </row>
    <row r="143" spans="1:6" x14ac:dyDescent="0.25">
      <c r="A143">
        <f>IF(ISBLANK(B143),A142,IFERROR(INDEX(Reaches!$A$7:$A$60,MATCH(B143,Reaches!$B$7:$B$60,0)),-1))</f>
        <v>7</v>
      </c>
      <c r="C143" s="1" t="str">
        <f>IFERROR(INDEX(Reaches!$G$7:$G$60,MATCH(B143,Reaches!$B$7:$B$60,0)),"")</f>
        <v/>
      </c>
      <c r="D143" s="3">
        <v>1660.74</v>
      </c>
      <c r="E143">
        <v>6000</v>
      </c>
    </row>
    <row r="144" spans="1:6" x14ac:dyDescent="0.25">
      <c r="A144">
        <f>IF(ISBLANK(B144),A143,IFERROR(INDEX(Reaches!$A$7:$A$60,MATCH(B144,Reaches!$B$7:$B$60,0)),-1))</f>
        <v>7</v>
      </c>
      <c r="C144" s="1" t="str">
        <f>IFERROR(INDEX(Reaches!$G$7:$G$60,MATCH(B144,Reaches!$B$7:$B$60,0)),"")</f>
        <v/>
      </c>
      <c r="D144" s="3">
        <v>2446.34</v>
      </c>
      <c r="E144">
        <v>9000</v>
      </c>
    </row>
    <row r="145" spans="1:5" x14ac:dyDescent="0.25">
      <c r="A145">
        <f>IF(ISBLANK(B145),A144,IFERROR(INDEX(Reaches!$A$7:$A$60,MATCH(B145,Reaches!$B$7:$B$60,0)),-1))</f>
        <v>7</v>
      </c>
      <c r="C145" s="1" t="str">
        <f>IFERROR(INDEX(Reaches!$G$7:$G$60,MATCH(B145,Reaches!$B$7:$B$60,0)),"")</f>
        <v/>
      </c>
      <c r="D145" s="3">
        <v>3255.59</v>
      </c>
      <c r="E145">
        <v>12000</v>
      </c>
    </row>
    <row r="146" spans="1:5" x14ac:dyDescent="0.25">
      <c r="A146">
        <f>IF(ISBLANK(B146),A145,IFERROR(INDEX(Reaches!$A$7:$A$60,MATCH(B146,Reaches!$B$7:$B$60,0)),-1))</f>
        <v>7</v>
      </c>
      <c r="C146" s="1" t="str">
        <f>IFERROR(INDEX(Reaches!$G$7:$G$60,MATCH(B146,Reaches!$B$7:$B$60,0)),"")</f>
        <v/>
      </c>
      <c r="D146" s="3">
        <v>4075.06</v>
      </c>
      <c r="E146">
        <v>15000</v>
      </c>
    </row>
    <row r="147" spans="1:5" x14ac:dyDescent="0.25">
      <c r="A147">
        <f>IF(ISBLANK(B147),A146,IFERROR(INDEX(Reaches!$A$7:$A$60,MATCH(B147,Reaches!$B$7:$B$60,0)),-1))</f>
        <v>7</v>
      </c>
      <c r="C147" s="1" t="str">
        <f>IFERROR(INDEX(Reaches!$G$7:$G$60,MATCH(B147,Reaches!$B$7:$B$60,0)),"")</f>
        <v/>
      </c>
      <c r="D147" s="3">
        <v>4902.12</v>
      </c>
      <c r="E147">
        <v>18000</v>
      </c>
    </row>
    <row r="148" spans="1:5" x14ac:dyDescent="0.25">
      <c r="A148">
        <f>IF(ISBLANK(B148),A147,IFERROR(INDEX(Reaches!$A$7:$A$60,MATCH(B148,Reaches!$B$7:$B$60,0)),-1))</f>
        <v>7</v>
      </c>
      <c r="C148" s="1" t="str">
        <f>IFERROR(INDEX(Reaches!$G$7:$G$60,MATCH(B148,Reaches!$B$7:$B$60,0)),"")</f>
        <v/>
      </c>
      <c r="D148" s="3">
        <v>5527.84</v>
      </c>
      <c r="E148">
        <v>20000</v>
      </c>
    </row>
    <row r="149" spans="1:5" x14ac:dyDescent="0.25">
      <c r="A149">
        <f>IF(ISBLANK(B149),A148,IFERROR(INDEX(Reaches!$A$7:$A$60,MATCH(B149,Reaches!$B$7:$B$60,0)),-1))</f>
        <v>7</v>
      </c>
      <c r="C149" s="1" t="str">
        <f>IFERROR(INDEX(Reaches!$G$7:$G$60,MATCH(B149,Reaches!$B$7:$B$60,0)),"")</f>
        <v/>
      </c>
      <c r="D149" s="3">
        <v>7012.6</v>
      </c>
      <c r="E149">
        <v>25000</v>
      </c>
    </row>
    <row r="150" spans="1:5" x14ac:dyDescent="0.25">
      <c r="A150">
        <f>IF(ISBLANK(B150),A149,IFERROR(INDEX(Reaches!$A$7:$A$60,MATCH(B150,Reaches!$B$7:$B$60,0)),-1))</f>
        <v>7</v>
      </c>
      <c r="C150" s="1" t="str">
        <f>IFERROR(INDEX(Reaches!$G$7:$G$60,MATCH(B150,Reaches!$B$7:$B$60,0)),"")</f>
        <v/>
      </c>
      <c r="D150" s="3">
        <v>8481.59</v>
      </c>
      <c r="E150">
        <v>30000</v>
      </c>
    </row>
    <row r="151" spans="1:5" x14ac:dyDescent="0.25">
      <c r="A151">
        <f>IF(ISBLANK(B151),A150,IFERROR(INDEX(Reaches!$A$7:$A$60,MATCH(B151,Reaches!$B$7:$B$60,0)),-1))</f>
        <v>7</v>
      </c>
      <c r="C151" s="1" t="str">
        <f>IFERROR(INDEX(Reaches!$G$7:$G$60,MATCH(B151,Reaches!$B$7:$B$60,0)),"")</f>
        <v/>
      </c>
      <c r="D151" s="3">
        <v>10016.99</v>
      </c>
      <c r="E151">
        <v>35000</v>
      </c>
    </row>
    <row r="152" spans="1:5" x14ac:dyDescent="0.25">
      <c r="A152">
        <f>IF(ISBLANK(B152),A151,IFERROR(INDEX(Reaches!$A$7:$A$60,MATCH(B152,Reaches!$B$7:$B$60,0)),-1))</f>
        <v>7</v>
      </c>
      <c r="C152" s="1" t="str">
        <f>IFERROR(INDEX(Reaches!$G$7:$G$60,MATCH(B152,Reaches!$B$7:$B$60,0)),"")</f>
        <v/>
      </c>
      <c r="D152" s="3">
        <v>11443.99</v>
      </c>
      <c r="E152">
        <v>40000</v>
      </c>
    </row>
    <row r="153" spans="1:5" x14ac:dyDescent="0.25">
      <c r="A153">
        <f>IF(ISBLANK(B153),A152,IFERROR(INDEX(Reaches!$A$7:$A$60,MATCH(B153,Reaches!$B$7:$B$60,0)),-1))</f>
        <v>7</v>
      </c>
      <c r="C153" s="1" t="str">
        <f>IFERROR(INDEX(Reaches!$G$7:$G$60,MATCH(B153,Reaches!$B$7:$B$60,0)),"")</f>
        <v/>
      </c>
      <c r="D153" s="3">
        <v>14305.67</v>
      </c>
      <c r="E153">
        <v>50000</v>
      </c>
    </row>
    <row r="154" spans="1:5" x14ac:dyDescent="0.25">
      <c r="A154">
        <f>IF(ISBLANK(B154),A153,IFERROR(INDEX(Reaches!$A$7:$A$60,MATCH(B154,Reaches!$B$7:$B$60,0)),-1))</f>
        <v>7</v>
      </c>
      <c r="C154" s="1" t="str">
        <f>IFERROR(INDEX(Reaches!$G$7:$G$60,MATCH(B154,Reaches!$B$7:$B$60,0)),"")</f>
        <v/>
      </c>
      <c r="D154" s="3">
        <v>17108.740000000002</v>
      </c>
      <c r="E154">
        <v>60000</v>
      </c>
    </row>
    <row r="155" spans="1:5" x14ac:dyDescent="0.25">
      <c r="A155">
        <f>IF(ISBLANK(B155),A154,IFERROR(INDEX(Reaches!$A$7:$A$60,MATCH(B155,Reaches!$B$7:$B$60,0)),-1))</f>
        <v>7</v>
      </c>
      <c r="C155" s="1" t="str">
        <f>IFERROR(INDEX(Reaches!$G$7:$G$60,MATCH(B155,Reaches!$B$7:$B$60,0)),"")</f>
        <v/>
      </c>
      <c r="D155" s="3">
        <v>20222.29</v>
      </c>
      <c r="E155">
        <v>70000</v>
      </c>
    </row>
    <row r="156" spans="1:5" x14ac:dyDescent="0.25">
      <c r="A156">
        <f>IF(ISBLANK(B156),A155,IFERROR(INDEX(Reaches!$A$7:$A$60,MATCH(B156,Reaches!$B$7:$B$60,0)),-1))</f>
        <v>7</v>
      </c>
      <c r="C156" s="1" t="str">
        <f>IFERROR(INDEX(Reaches!$G$7:$G$60,MATCH(B156,Reaches!$B$7:$B$60,0)),"")</f>
        <v/>
      </c>
      <c r="D156" s="3">
        <v>22982.48</v>
      </c>
      <c r="E156">
        <v>80000</v>
      </c>
    </row>
    <row r="157" spans="1:5" x14ac:dyDescent="0.25">
      <c r="A157">
        <f>IF(ISBLANK(B157),A156,IFERROR(INDEX(Reaches!$A$7:$A$60,MATCH(B157,Reaches!$B$7:$B$60,0)),-1))</f>
        <v>7</v>
      </c>
      <c r="C157" s="1" t="str">
        <f>IFERROR(INDEX(Reaches!$G$7:$G$60,MATCH(B157,Reaches!$B$7:$B$60,0)),"")</f>
        <v/>
      </c>
      <c r="D157" s="3">
        <v>26273.01</v>
      </c>
      <c r="E157">
        <v>94000</v>
      </c>
    </row>
    <row r="158" spans="1:5" x14ac:dyDescent="0.25">
      <c r="A158">
        <f>IF(ISBLANK(B158),A157,IFERROR(INDEX(Reaches!$A$7:$A$60,MATCH(B158,Reaches!$B$7:$B$60,0)),-1))</f>
        <v>7</v>
      </c>
      <c r="C158" s="1" t="str">
        <f>IFERROR(INDEX(Reaches!$G$7:$G$60,MATCH(B158,Reaches!$B$7:$B$60,0)),"")</f>
        <v/>
      </c>
      <c r="D158" s="3">
        <v>27507.21</v>
      </c>
      <c r="E158">
        <v>100000</v>
      </c>
    </row>
    <row r="159" spans="1:5" x14ac:dyDescent="0.25">
      <c r="A159">
        <f>IF(ISBLANK(B159),A158,IFERROR(INDEX(Reaches!$A$7:$A$60,MATCH(B159,Reaches!$B$7:$B$60,0)),-1))</f>
        <v>7</v>
      </c>
      <c r="C159" s="1" t="str">
        <f>IFERROR(INDEX(Reaches!$G$7:$G$60,MATCH(B159,Reaches!$B$7:$B$60,0)),"")</f>
        <v/>
      </c>
      <c r="D159" s="3">
        <v>47698.46</v>
      </c>
      <c r="E159">
        <v>200000</v>
      </c>
    </row>
    <row r="160" spans="1:5" x14ac:dyDescent="0.25">
      <c r="A160">
        <f>IF(ISBLANK(B160),A159,IFERROR(INDEX(Reaches!$A$7:$A$60,MATCH(B160,Reaches!$B$7:$B$60,0)),-1))</f>
        <v>7</v>
      </c>
      <c r="C160" s="1" t="str">
        <f>IFERROR(INDEX(Reaches!$G$7:$G$60,MATCH(B160,Reaches!$B$7:$B$60,0)),"")</f>
        <v/>
      </c>
      <c r="D160" s="3">
        <v>78874.14</v>
      </c>
      <c r="E160">
        <v>400000</v>
      </c>
    </row>
    <row r="161" spans="1:6" x14ac:dyDescent="0.25">
      <c r="A161">
        <f>IF(ISBLANK(B161),A160,IFERROR(INDEX(Reaches!$A$7:$A$60,MATCH(B161,Reaches!$B$7:$B$60,0)),-1))</f>
        <v>7</v>
      </c>
      <c r="C161" s="1" t="str">
        <f>IFERROR(INDEX(Reaches!$G$7:$G$60,MATCH(B161,Reaches!$B$7:$B$60,0)),"")</f>
        <v/>
      </c>
      <c r="D161" s="3">
        <v>126397.2</v>
      </c>
      <c r="E161">
        <v>800000</v>
      </c>
    </row>
    <row r="162" spans="1:6" x14ac:dyDescent="0.25">
      <c r="A162">
        <f>IF(ISBLANK(B162),A161,IFERROR(INDEX(Reaches!$A$7:$A$60,MATCH(B162,Reaches!$B$7:$B$60,0)),-1))</f>
        <v>7</v>
      </c>
      <c r="C162" s="1" t="str">
        <f>IFERROR(INDEX(Reaches!$G$7:$G$60,MATCH(B162,Reaches!$B$7:$B$60,0)),"")</f>
        <v/>
      </c>
      <c r="D162" s="3">
        <v>361183.9</v>
      </c>
      <c r="E162">
        <v>3400000</v>
      </c>
    </row>
    <row r="163" spans="1:6" x14ac:dyDescent="0.25">
      <c r="A163">
        <f>IF(ISBLANK(B163),A162,IFERROR(INDEX(Reaches!$A$7:$A$60,MATCH(B163,Reaches!$B$7:$B$60,0)),-1))</f>
        <v>8</v>
      </c>
      <c r="B163" t="s">
        <v>23</v>
      </c>
      <c r="C163" s="1">
        <f>IFERROR(INDEX(Reaches!$G$7:$G$60,MATCH(B163,Reaches!$B$7:$B$60,0)),"")</f>
        <v>2</v>
      </c>
      <c r="D163" s="3">
        <v>0</v>
      </c>
      <c r="E163">
        <v>0</v>
      </c>
      <c r="F163" t="s">
        <v>227</v>
      </c>
    </row>
    <row r="164" spans="1:6" x14ac:dyDescent="0.25">
      <c r="A164">
        <f>IF(ISBLANK(B164),A163,IFERROR(INDEX(Reaches!$A$7:$A$60,MATCH(B164,Reaches!$B$7:$B$60,0)),-1))</f>
        <v>8</v>
      </c>
      <c r="C164" s="1" t="str">
        <f>IFERROR(INDEX(Reaches!$G$7:$G$60,MATCH(B164,Reaches!$B$7:$B$60,0)),"")</f>
        <v/>
      </c>
      <c r="D164" s="3">
        <v>134.69</v>
      </c>
      <c r="E164">
        <v>125</v>
      </c>
    </row>
    <row r="165" spans="1:6" x14ac:dyDescent="0.25">
      <c r="A165">
        <f>IF(ISBLANK(B165),A164,IFERROR(INDEX(Reaches!$A$7:$A$60,MATCH(B165,Reaches!$B$7:$B$60,0)),-1))</f>
        <v>8</v>
      </c>
      <c r="C165" s="1" t="str">
        <f>IFERROR(INDEX(Reaches!$G$7:$G$60,MATCH(B165,Reaches!$B$7:$B$60,0)),"")</f>
        <v/>
      </c>
      <c r="D165" s="3">
        <v>256.55</v>
      </c>
      <c r="E165">
        <v>500</v>
      </c>
    </row>
    <row r="166" spans="1:6" x14ac:dyDescent="0.25">
      <c r="A166">
        <f>IF(ISBLANK(B166),A165,IFERROR(INDEX(Reaches!$A$7:$A$60,MATCH(B166,Reaches!$B$7:$B$60,0)),-1))</f>
        <v>8</v>
      </c>
      <c r="C166" s="1" t="str">
        <f>IFERROR(INDEX(Reaches!$G$7:$G$60,MATCH(B166,Reaches!$B$7:$B$60,0)),"")</f>
        <v/>
      </c>
      <c r="D166" s="3">
        <v>385.65</v>
      </c>
      <c r="E166">
        <v>1000</v>
      </c>
    </row>
    <row r="167" spans="1:6" x14ac:dyDescent="0.25">
      <c r="A167">
        <f>IF(ISBLANK(B167),A166,IFERROR(INDEX(Reaches!$A$7:$A$60,MATCH(B167,Reaches!$B$7:$B$60,0)),-1))</f>
        <v>8</v>
      </c>
      <c r="C167" s="1" t="str">
        <f>IFERROR(INDEX(Reaches!$G$7:$G$60,MATCH(B167,Reaches!$B$7:$B$60,0)),"")</f>
        <v/>
      </c>
      <c r="D167" s="3">
        <v>501.3</v>
      </c>
      <c r="E167">
        <v>1500</v>
      </c>
    </row>
    <row r="168" spans="1:6" x14ac:dyDescent="0.25">
      <c r="A168">
        <f>IF(ISBLANK(B168),A167,IFERROR(INDEX(Reaches!$A$7:$A$60,MATCH(B168,Reaches!$B$7:$B$60,0)),-1))</f>
        <v>8</v>
      </c>
      <c r="C168" s="1" t="str">
        <f>IFERROR(INDEX(Reaches!$G$7:$G$60,MATCH(B168,Reaches!$B$7:$B$60,0)),"")</f>
        <v/>
      </c>
      <c r="D168" s="3">
        <v>608.54</v>
      </c>
      <c r="E168">
        <v>2000</v>
      </c>
    </row>
    <row r="169" spans="1:6" x14ac:dyDescent="0.25">
      <c r="A169">
        <f>IF(ISBLANK(B169),A168,IFERROR(INDEX(Reaches!$A$7:$A$60,MATCH(B169,Reaches!$B$7:$B$60,0)),-1))</f>
        <v>8</v>
      </c>
      <c r="C169" s="1" t="str">
        <f>IFERROR(INDEX(Reaches!$G$7:$G$60,MATCH(B169,Reaches!$B$7:$B$60,0)),"")</f>
        <v/>
      </c>
      <c r="D169" s="3">
        <v>726.44</v>
      </c>
      <c r="E169">
        <v>2500</v>
      </c>
    </row>
    <row r="170" spans="1:6" x14ac:dyDescent="0.25">
      <c r="A170">
        <f>IF(ISBLANK(B170),A169,IFERROR(INDEX(Reaches!$A$7:$A$60,MATCH(B170,Reaches!$B$7:$B$60,0)),-1))</f>
        <v>8</v>
      </c>
      <c r="C170" s="1" t="str">
        <f>IFERROR(INDEX(Reaches!$G$7:$G$60,MATCH(B170,Reaches!$B$7:$B$60,0)),"")</f>
        <v/>
      </c>
      <c r="D170" s="3">
        <v>835.35</v>
      </c>
      <c r="E170">
        <v>3000</v>
      </c>
    </row>
    <row r="171" spans="1:6" x14ac:dyDescent="0.25">
      <c r="A171">
        <f>IF(ISBLANK(B171),A170,IFERROR(INDEX(Reaches!$A$7:$A$60,MATCH(B171,Reaches!$B$7:$B$60,0)),-1))</f>
        <v>8</v>
      </c>
      <c r="C171" s="1" t="str">
        <f>IFERROR(INDEX(Reaches!$G$7:$G$60,MATCH(B171,Reaches!$B$7:$B$60,0)),"")</f>
        <v/>
      </c>
      <c r="D171" s="3">
        <v>946.78</v>
      </c>
      <c r="E171">
        <v>3500</v>
      </c>
    </row>
    <row r="172" spans="1:6" x14ac:dyDescent="0.25">
      <c r="A172">
        <f>IF(ISBLANK(B172),A171,IFERROR(INDEX(Reaches!$A$7:$A$60,MATCH(B172,Reaches!$B$7:$B$60,0)),-1))</f>
        <v>8</v>
      </c>
      <c r="C172" s="1" t="str">
        <f>IFERROR(INDEX(Reaches!$G$7:$G$60,MATCH(B172,Reaches!$B$7:$B$60,0)),"")</f>
        <v/>
      </c>
      <c r="D172" s="3">
        <v>1059.29</v>
      </c>
      <c r="E172">
        <v>4000</v>
      </c>
    </row>
    <row r="173" spans="1:6" x14ac:dyDescent="0.25">
      <c r="A173">
        <f>IF(ISBLANK(B173),A172,IFERROR(INDEX(Reaches!$A$7:$A$60,MATCH(B173,Reaches!$B$7:$B$60,0)),-1))</f>
        <v>8</v>
      </c>
      <c r="C173" s="1" t="str">
        <f>IFERROR(INDEX(Reaches!$G$7:$G$60,MATCH(B173,Reaches!$B$7:$B$60,0)),"")</f>
        <v/>
      </c>
      <c r="D173" s="3">
        <v>1482.37</v>
      </c>
      <c r="E173">
        <v>6000</v>
      </c>
    </row>
    <row r="174" spans="1:6" x14ac:dyDescent="0.25">
      <c r="A174">
        <f>IF(ISBLANK(B174),A173,IFERROR(INDEX(Reaches!$A$7:$A$60,MATCH(B174,Reaches!$B$7:$B$60,0)),-1))</f>
        <v>8</v>
      </c>
      <c r="C174" s="1" t="str">
        <f>IFERROR(INDEX(Reaches!$G$7:$G$60,MATCH(B174,Reaches!$B$7:$B$60,0)),"")</f>
        <v/>
      </c>
      <c r="D174" s="3">
        <v>1865.33</v>
      </c>
      <c r="E174">
        <v>8000</v>
      </c>
    </row>
    <row r="175" spans="1:6" x14ac:dyDescent="0.25">
      <c r="A175">
        <f>IF(ISBLANK(B175),A174,IFERROR(INDEX(Reaches!$A$7:$A$60,MATCH(B175,Reaches!$B$7:$B$60,0)),-1))</f>
        <v>8</v>
      </c>
      <c r="C175" s="1" t="str">
        <f>IFERROR(INDEX(Reaches!$G$7:$G$60,MATCH(B175,Reaches!$B$7:$B$60,0)),"")</f>
        <v/>
      </c>
      <c r="D175" s="3">
        <v>2260.83</v>
      </c>
      <c r="E175">
        <v>10000</v>
      </c>
    </row>
    <row r="176" spans="1:6" x14ac:dyDescent="0.25">
      <c r="A176">
        <f>IF(ISBLANK(B176),A175,IFERROR(INDEX(Reaches!$A$7:$A$60,MATCH(B176,Reaches!$B$7:$B$60,0)),-1))</f>
        <v>8</v>
      </c>
      <c r="C176" s="1" t="str">
        <f>IFERROR(INDEX(Reaches!$G$7:$G$60,MATCH(B176,Reaches!$B$7:$B$60,0)),"")</f>
        <v/>
      </c>
      <c r="D176" s="3">
        <v>2680.72</v>
      </c>
      <c r="E176">
        <v>12000</v>
      </c>
    </row>
    <row r="177" spans="1:6" x14ac:dyDescent="0.25">
      <c r="A177">
        <f>IF(ISBLANK(B177),A176,IFERROR(INDEX(Reaches!$A$7:$A$60,MATCH(B177,Reaches!$B$7:$B$60,0)),-1))</f>
        <v>8</v>
      </c>
      <c r="C177" s="1" t="str">
        <f>IFERROR(INDEX(Reaches!$G$7:$G$60,MATCH(B177,Reaches!$B$7:$B$60,0)),"")</f>
        <v/>
      </c>
      <c r="D177" s="3">
        <v>3115.15</v>
      </c>
      <c r="E177">
        <v>14000</v>
      </c>
    </row>
    <row r="178" spans="1:6" x14ac:dyDescent="0.25">
      <c r="A178">
        <f>IF(ISBLANK(B178),A177,IFERROR(INDEX(Reaches!$A$7:$A$60,MATCH(B178,Reaches!$B$7:$B$60,0)),-1))</f>
        <v>8</v>
      </c>
      <c r="C178" s="1" t="str">
        <f>IFERROR(INDEX(Reaches!$G$7:$G$60,MATCH(B178,Reaches!$B$7:$B$60,0)),"")</f>
        <v/>
      </c>
      <c r="D178" s="3">
        <v>3564.96</v>
      </c>
      <c r="E178">
        <v>16000</v>
      </c>
    </row>
    <row r="179" spans="1:6" x14ac:dyDescent="0.25">
      <c r="A179">
        <f>IF(ISBLANK(B179),A178,IFERROR(INDEX(Reaches!$A$7:$A$60,MATCH(B179,Reaches!$B$7:$B$60,0)),-1))</f>
        <v>8</v>
      </c>
      <c r="C179" s="1" t="str">
        <f>IFERROR(INDEX(Reaches!$G$7:$G$60,MATCH(B179,Reaches!$B$7:$B$60,0)),"")</f>
        <v/>
      </c>
      <c r="D179" s="3">
        <v>4038.59</v>
      </c>
      <c r="E179">
        <v>18000</v>
      </c>
    </row>
    <row r="180" spans="1:6" x14ac:dyDescent="0.25">
      <c r="A180">
        <f>IF(ISBLANK(B180),A179,IFERROR(INDEX(Reaches!$A$7:$A$60,MATCH(B180,Reaches!$B$7:$B$60,0)),-1))</f>
        <v>8</v>
      </c>
      <c r="C180" s="1" t="str">
        <f>IFERROR(INDEX(Reaches!$G$7:$G$60,MATCH(B180,Reaches!$B$7:$B$60,0)),"")</f>
        <v/>
      </c>
      <c r="D180" s="3">
        <v>4524.4799999999996</v>
      </c>
      <c r="E180">
        <v>20000</v>
      </c>
    </row>
    <row r="181" spans="1:6" x14ac:dyDescent="0.25">
      <c r="A181">
        <f>IF(ISBLANK(B181),A180,IFERROR(INDEX(Reaches!$A$7:$A$60,MATCH(B181,Reaches!$B$7:$B$60,0)),-1))</f>
        <v>8</v>
      </c>
      <c r="C181" s="1" t="str">
        <f>IFERROR(INDEX(Reaches!$G$7:$G$60,MATCH(B181,Reaches!$B$7:$B$60,0)),"")</f>
        <v/>
      </c>
      <c r="D181" s="3">
        <v>4869.05</v>
      </c>
      <c r="E181">
        <v>21400</v>
      </c>
    </row>
    <row r="182" spans="1:6" x14ac:dyDescent="0.25">
      <c r="A182">
        <f>IF(ISBLANK(B182),A181,IFERROR(INDEX(Reaches!$A$7:$A$60,MATCH(B182,Reaches!$B$7:$B$60,0)),-1))</f>
        <v>8</v>
      </c>
      <c r="C182" s="1" t="str">
        <f>IFERROR(INDEX(Reaches!$G$7:$G$60,MATCH(B182,Reaches!$B$7:$B$60,0)),"")</f>
        <v/>
      </c>
      <c r="D182" s="3">
        <v>5686.57</v>
      </c>
      <c r="E182">
        <v>25000</v>
      </c>
    </row>
    <row r="183" spans="1:6" x14ac:dyDescent="0.25">
      <c r="A183">
        <f>IF(ISBLANK(B183),A182,IFERROR(INDEX(Reaches!$A$7:$A$60,MATCH(B183,Reaches!$B$7:$B$60,0)),-1))</f>
        <v>8</v>
      </c>
      <c r="C183" s="1" t="str">
        <f>IFERROR(INDEX(Reaches!$G$7:$G$60,MATCH(B183,Reaches!$B$7:$B$60,0)),"")</f>
        <v/>
      </c>
      <c r="D183" s="3">
        <v>11794.91</v>
      </c>
      <c r="E183">
        <v>50000</v>
      </c>
    </row>
    <row r="184" spans="1:6" x14ac:dyDescent="0.25">
      <c r="A184">
        <f>IF(ISBLANK(B184),A183,IFERROR(INDEX(Reaches!$A$7:$A$60,MATCH(B184,Reaches!$B$7:$B$60,0)),-1))</f>
        <v>8</v>
      </c>
      <c r="C184" s="1" t="str">
        <f>IFERROR(INDEX(Reaches!$G$7:$G$60,MATCH(B184,Reaches!$B$7:$B$60,0)),"")</f>
        <v/>
      </c>
      <c r="D184" s="3">
        <v>21156.26</v>
      </c>
      <c r="E184">
        <v>100000</v>
      </c>
    </row>
    <row r="185" spans="1:6" x14ac:dyDescent="0.25">
      <c r="A185">
        <f>IF(ISBLANK(B185),A184,IFERROR(INDEX(Reaches!$A$7:$A$60,MATCH(B185,Reaches!$B$7:$B$60,0)),-1))</f>
        <v>8</v>
      </c>
      <c r="C185" s="1" t="str">
        <f>IFERROR(INDEX(Reaches!$G$7:$G$60,MATCH(B185,Reaches!$B$7:$B$60,0)),"")</f>
        <v/>
      </c>
      <c r="D185" s="3">
        <v>35008.400000000001</v>
      </c>
      <c r="E185">
        <v>200000</v>
      </c>
    </row>
    <row r="186" spans="1:6" x14ac:dyDescent="0.25">
      <c r="A186">
        <f>IF(ISBLANK(B186),A185,IFERROR(INDEX(Reaches!$A$7:$A$60,MATCH(B186,Reaches!$B$7:$B$60,0)),-1))</f>
        <v>8</v>
      </c>
      <c r="C186" s="1" t="str">
        <f>IFERROR(INDEX(Reaches!$G$7:$G$60,MATCH(B186,Reaches!$B$7:$B$60,0)),"")</f>
        <v/>
      </c>
      <c r="D186" s="3">
        <v>67032.72</v>
      </c>
      <c r="E186">
        <v>562000</v>
      </c>
    </row>
    <row r="187" spans="1:6" x14ac:dyDescent="0.25">
      <c r="A187">
        <f>IF(ISBLANK(B187),A186,IFERROR(INDEX(Reaches!$A$7:$A$60,MATCH(B187,Reaches!$B$7:$B$60,0)),-1))</f>
        <v>9</v>
      </c>
      <c r="B187" t="s">
        <v>7</v>
      </c>
      <c r="C187" s="1">
        <f>IFERROR(INDEX(Reaches!$G$7:$G$60,MATCH(B187,Reaches!$B$7:$B$60,0)),"")</f>
        <v>2</v>
      </c>
      <c r="D187" s="3">
        <v>0</v>
      </c>
      <c r="E187">
        <v>0</v>
      </c>
      <c r="F187" t="s">
        <v>227</v>
      </c>
    </row>
    <row r="188" spans="1:6" x14ac:dyDescent="0.25">
      <c r="A188">
        <f>IF(ISBLANK(B188),A187,IFERROR(INDEX(Reaches!$A$7:$A$60,MATCH(B188,Reaches!$B$7:$B$60,0)),-1))</f>
        <v>9</v>
      </c>
      <c r="C188" s="1" t="str">
        <f>IFERROR(INDEX(Reaches!$G$7:$G$60,MATCH(B188,Reaches!$B$7:$B$60,0)),"")</f>
        <v/>
      </c>
      <c r="D188" s="3">
        <v>84.1</v>
      </c>
      <c r="E188">
        <v>75</v>
      </c>
    </row>
    <row r="189" spans="1:6" x14ac:dyDescent="0.25">
      <c r="A189">
        <f>IF(ISBLANK(B189),A188,IFERROR(INDEX(Reaches!$A$7:$A$60,MATCH(B189,Reaches!$B$7:$B$60,0)),-1))</f>
        <v>9</v>
      </c>
      <c r="C189" s="1" t="str">
        <f>IFERROR(INDEX(Reaches!$G$7:$G$60,MATCH(B189,Reaches!$B$7:$B$60,0)),"")</f>
        <v/>
      </c>
      <c r="D189" s="3">
        <v>111.25999999999999</v>
      </c>
      <c r="E189">
        <v>100</v>
      </c>
    </row>
    <row r="190" spans="1:6" x14ac:dyDescent="0.25">
      <c r="A190">
        <f>IF(ISBLANK(B190),A189,IFERROR(INDEX(Reaches!$A$7:$A$60,MATCH(B190,Reaches!$B$7:$B$60,0)),-1))</f>
        <v>9</v>
      </c>
      <c r="C190" s="1" t="str">
        <f>IFERROR(INDEX(Reaches!$G$7:$G$60,MATCH(B190,Reaches!$B$7:$B$60,0)),"")</f>
        <v/>
      </c>
      <c r="D190" s="3">
        <v>183.78</v>
      </c>
      <c r="E190">
        <v>250</v>
      </c>
    </row>
    <row r="191" spans="1:6" x14ac:dyDescent="0.25">
      <c r="A191">
        <f>IF(ISBLANK(B191),A190,IFERROR(INDEX(Reaches!$A$7:$A$60,MATCH(B191,Reaches!$B$7:$B$60,0)),-1))</f>
        <v>9</v>
      </c>
      <c r="C191" s="1" t="str">
        <f>IFERROR(INDEX(Reaches!$G$7:$G$60,MATCH(B191,Reaches!$B$7:$B$60,0)),"")</f>
        <v/>
      </c>
      <c r="D191" s="3">
        <v>291.27</v>
      </c>
      <c r="E191">
        <v>500</v>
      </c>
    </row>
    <row r="192" spans="1:6" x14ac:dyDescent="0.25">
      <c r="A192">
        <f>IF(ISBLANK(B192),A191,IFERROR(INDEX(Reaches!$A$7:$A$60,MATCH(B192,Reaches!$B$7:$B$60,0)),-1))</f>
        <v>9</v>
      </c>
      <c r="C192" s="1" t="str">
        <f>IFERROR(INDEX(Reaches!$G$7:$G$60,MATCH(B192,Reaches!$B$7:$B$60,0)),"")</f>
        <v/>
      </c>
      <c r="D192" s="3">
        <v>369.07</v>
      </c>
      <c r="E192">
        <v>750</v>
      </c>
    </row>
    <row r="193" spans="1:5" x14ac:dyDescent="0.25">
      <c r="A193">
        <f>IF(ISBLANK(B193),A192,IFERROR(INDEX(Reaches!$A$7:$A$60,MATCH(B193,Reaches!$B$7:$B$60,0)),-1))</f>
        <v>9</v>
      </c>
      <c r="C193" s="1" t="str">
        <f>IFERROR(INDEX(Reaches!$G$7:$G$60,MATCH(B193,Reaches!$B$7:$B$60,0)),"")</f>
        <v/>
      </c>
      <c r="D193" s="3">
        <v>439.61</v>
      </c>
      <c r="E193">
        <v>1000</v>
      </c>
    </row>
    <row r="194" spans="1:5" x14ac:dyDescent="0.25">
      <c r="A194">
        <f>IF(ISBLANK(B194),A193,IFERROR(INDEX(Reaches!$A$7:$A$60,MATCH(B194,Reaches!$B$7:$B$60,0)),-1))</f>
        <v>9</v>
      </c>
      <c r="C194" s="1" t="str">
        <f>IFERROR(INDEX(Reaches!$G$7:$G$60,MATCH(B194,Reaches!$B$7:$B$60,0)),"")</f>
        <v/>
      </c>
      <c r="D194" s="3">
        <v>560.41</v>
      </c>
      <c r="E194">
        <v>1500</v>
      </c>
    </row>
    <row r="195" spans="1:5" x14ac:dyDescent="0.25">
      <c r="A195">
        <f>IF(ISBLANK(B195),A194,IFERROR(INDEX(Reaches!$A$7:$A$60,MATCH(B195,Reaches!$B$7:$B$60,0)),-1))</f>
        <v>9</v>
      </c>
      <c r="C195" s="1" t="str">
        <f>IFERROR(INDEX(Reaches!$G$7:$G$60,MATCH(B195,Reaches!$B$7:$B$60,0)),"")</f>
        <v/>
      </c>
      <c r="D195" s="3">
        <v>671.35</v>
      </c>
      <c r="E195">
        <v>2000</v>
      </c>
    </row>
    <row r="196" spans="1:5" x14ac:dyDescent="0.25">
      <c r="A196">
        <f>IF(ISBLANK(B196),A195,IFERROR(INDEX(Reaches!$A$7:$A$60,MATCH(B196,Reaches!$B$7:$B$60,0)),-1))</f>
        <v>9</v>
      </c>
      <c r="C196" s="1" t="str">
        <f>IFERROR(INDEX(Reaches!$G$7:$G$60,MATCH(B196,Reaches!$B$7:$B$60,0)),"")</f>
        <v/>
      </c>
      <c r="D196" s="3">
        <v>781.46</v>
      </c>
      <c r="E196">
        <v>2500</v>
      </c>
    </row>
    <row r="197" spans="1:5" x14ac:dyDescent="0.25">
      <c r="A197">
        <f>IF(ISBLANK(B197),A196,IFERROR(INDEX(Reaches!$A$7:$A$60,MATCH(B197,Reaches!$B$7:$B$60,0)),-1))</f>
        <v>9</v>
      </c>
      <c r="C197" s="1" t="str">
        <f>IFERROR(INDEX(Reaches!$G$7:$G$60,MATCH(B197,Reaches!$B$7:$B$60,0)),"")</f>
        <v/>
      </c>
      <c r="D197" s="3">
        <v>854.19</v>
      </c>
      <c r="E197">
        <v>2750</v>
      </c>
    </row>
    <row r="198" spans="1:5" x14ac:dyDescent="0.25">
      <c r="A198">
        <f>IF(ISBLANK(B198),A197,IFERROR(INDEX(Reaches!$A$7:$A$60,MATCH(B198,Reaches!$B$7:$B$60,0)),-1))</f>
        <v>9</v>
      </c>
      <c r="C198" s="1" t="str">
        <f>IFERROR(INDEX(Reaches!$G$7:$G$60,MATCH(B198,Reaches!$B$7:$B$60,0)),"")</f>
        <v/>
      </c>
      <c r="D198" s="3">
        <v>924.43</v>
      </c>
      <c r="E198">
        <v>3000</v>
      </c>
    </row>
    <row r="199" spans="1:5" x14ac:dyDescent="0.25">
      <c r="A199">
        <f>IF(ISBLANK(B199),A198,IFERROR(INDEX(Reaches!$A$7:$A$60,MATCH(B199,Reaches!$B$7:$B$60,0)),-1))</f>
        <v>9</v>
      </c>
      <c r="C199" s="1" t="str">
        <f>IFERROR(INDEX(Reaches!$G$7:$G$60,MATCH(B199,Reaches!$B$7:$B$60,0)),"")</f>
        <v/>
      </c>
      <c r="D199" s="3">
        <v>1007.19</v>
      </c>
      <c r="E199">
        <v>3250</v>
      </c>
    </row>
    <row r="200" spans="1:5" x14ac:dyDescent="0.25">
      <c r="A200">
        <f>IF(ISBLANK(B200),A199,IFERROR(INDEX(Reaches!$A$7:$A$60,MATCH(B200,Reaches!$B$7:$B$60,0)),-1))</f>
        <v>9</v>
      </c>
      <c r="C200" s="1" t="str">
        <f>IFERROR(INDEX(Reaches!$G$7:$G$60,MATCH(B200,Reaches!$B$7:$B$60,0)),"")</f>
        <v/>
      </c>
      <c r="D200" s="3">
        <v>1077.51</v>
      </c>
      <c r="E200">
        <v>3500</v>
      </c>
    </row>
    <row r="201" spans="1:5" x14ac:dyDescent="0.25">
      <c r="A201">
        <f>IF(ISBLANK(B201),A200,IFERROR(INDEX(Reaches!$A$7:$A$60,MATCH(B201,Reaches!$B$7:$B$60,0)),-1))</f>
        <v>9</v>
      </c>
      <c r="C201" s="1" t="str">
        <f>IFERROR(INDEX(Reaches!$G$7:$G$60,MATCH(B201,Reaches!$B$7:$B$60,0)),"")</f>
        <v/>
      </c>
      <c r="D201" s="3">
        <v>1205.18</v>
      </c>
      <c r="E201">
        <v>4000</v>
      </c>
    </row>
    <row r="202" spans="1:5" x14ac:dyDescent="0.25">
      <c r="A202">
        <f>IF(ISBLANK(B202),A201,IFERROR(INDEX(Reaches!$A$7:$A$60,MATCH(B202,Reaches!$B$7:$B$60,0)),-1))</f>
        <v>9</v>
      </c>
      <c r="C202" s="1" t="str">
        <f>IFERROR(INDEX(Reaches!$G$7:$G$60,MATCH(B202,Reaches!$B$7:$B$60,0)),"")</f>
        <v/>
      </c>
      <c r="D202" s="3">
        <v>1346.18</v>
      </c>
      <c r="E202">
        <v>4500</v>
      </c>
    </row>
    <row r="203" spans="1:5" x14ac:dyDescent="0.25">
      <c r="A203">
        <f>IF(ISBLANK(B203),A202,IFERROR(INDEX(Reaches!$A$7:$A$60,MATCH(B203,Reaches!$B$7:$B$60,0)),-1))</f>
        <v>9</v>
      </c>
      <c r="C203" s="1" t="str">
        <f>IFERROR(INDEX(Reaches!$G$7:$G$60,MATCH(B203,Reaches!$B$7:$B$60,0)),"")</f>
        <v/>
      </c>
      <c r="D203" s="3">
        <v>1522.56</v>
      </c>
      <c r="E203">
        <v>5000</v>
      </c>
    </row>
    <row r="204" spans="1:5" x14ac:dyDescent="0.25">
      <c r="A204">
        <f>IF(ISBLANK(B204),A203,IFERROR(INDEX(Reaches!$A$7:$A$60,MATCH(B204,Reaches!$B$7:$B$60,0)),-1))</f>
        <v>9</v>
      </c>
      <c r="C204" s="1" t="str">
        <f>IFERROR(INDEX(Reaches!$G$7:$G$60,MATCH(B204,Reaches!$B$7:$B$60,0)),"")</f>
        <v/>
      </c>
      <c r="D204" s="3">
        <v>1718.8400000000001</v>
      </c>
      <c r="E204">
        <v>5500</v>
      </c>
    </row>
    <row r="205" spans="1:5" x14ac:dyDescent="0.25">
      <c r="A205">
        <f>IF(ISBLANK(B205),A204,IFERROR(INDEX(Reaches!$A$7:$A$60,MATCH(B205,Reaches!$B$7:$B$60,0)),-1))</f>
        <v>9</v>
      </c>
      <c r="C205" s="1" t="str">
        <f>IFERROR(INDEX(Reaches!$G$7:$G$60,MATCH(B205,Reaches!$B$7:$B$60,0)),"")</f>
        <v/>
      </c>
      <c r="D205" s="3">
        <v>1902.8000000000002</v>
      </c>
      <c r="E205">
        <v>5910</v>
      </c>
    </row>
    <row r="206" spans="1:5" x14ac:dyDescent="0.25">
      <c r="A206">
        <f>IF(ISBLANK(B206),A205,IFERROR(INDEX(Reaches!$A$7:$A$60,MATCH(B206,Reaches!$B$7:$B$60,0)),-1))</f>
        <v>9</v>
      </c>
      <c r="C206" s="1" t="str">
        <f>IFERROR(INDEX(Reaches!$G$7:$G$60,MATCH(B206,Reaches!$B$7:$B$60,0)),"")</f>
        <v/>
      </c>
      <c r="D206" s="3">
        <v>1965.7599999999998</v>
      </c>
      <c r="E206">
        <v>6000</v>
      </c>
    </row>
    <row r="207" spans="1:5" x14ac:dyDescent="0.25">
      <c r="A207">
        <f>IF(ISBLANK(B207),A206,IFERROR(INDEX(Reaches!$A$7:$A$60,MATCH(B207,Reaches!$B$7:$B$60,0)),-1))</f>
        <v>9</v>
      </c>
      <c r="C207" s="1" t="str">
        <f>IFERROR(INDEX(Reaches!$G$7:$G$60,MATCH(B207,Reaches!$B$7:$B$60,0)),"")</f>
        <v/>
      </c>
      <c r="D207" s="3">
        <v>5211.2199999999993</v>
      </c>
      <c r="E207">
        <v>12000</v>
      </c>
    </row>
    <row r="208" spans="1:5" x14ac:dyDescent="0.25">
      <c r="A208">
        <f>IF(ISBLANK(B208),A207,IFERROR(INDEX(Reaches!$A$7:$A$60,MATCH(B208,Reaches!$B$7:$B$60,0)),-1))</f>
        <v>9</v>
      </c>
      <c r="C208" s="1" t="str">
        <f>IFERROR(INDEX(Reaches!$G$7:$G$60,MATCH(B208,Reaches!$B$7:$B$60,0)),"")</f>
        <v/>
      </c>
      <c r="D208" s="3">
        <v>11018.93</v>
      </c>
      <c r="E208">
        <v>24000</v>
      </c>
    </row>
    <row r="209" spans="1:6" x14ac:dyDescent="0.25">
      <c r="A209">
        <f>IF(ISBLANK(B209),A208,IFERROR(INDEX(Reaches!$A$7:$A$60,MATCH(B209,Reaches!$B$7:$B$60,0)),-1))</f>
        <v>9</v>
      </c>
      <c r="C209" s="1" t="str">
        <f>IFERROR(INDEX(Reaches!$G$7:$G$60,MATCH(B209,Reaches!$B$7:$B$60,0)),"")</f>
        <v/>
      </c>
      <c r="D209" s="3">
        <v>19640.760000000002</v>
      </c>
      <c r="E209">
        <v>48000</v>
      </c>
    </row>
    <row r="210" spans="1:6" x14ac:dyDescent="0.25">
      <c r="A210">
        <f>IF(ISBLANK(B210),A209,IFERROR(INDEX(Reaches!$A$7:$A$60,MATCH(B210,Reaches!$B$7:$B$60,0)),-1))</f>
        <v>9</v>
      </c>
      <c r="C210" s="1" t="str">
        <f>IFERROR(INDEX(Reaches!$G$7:$G$60,MATCH(B210,Reaches!$B$7:$B$60,0)),"")</f>
        <v/>
      </c>
      <c r="D210" s="3">
        <v>46822.68</v>
      </c>
      <c r="E210">
        <v>210000</v>
      </c>
    </row>
    <row r="211" spans="1:6" x14ac:dyDescent="0.25">
      <c r="A211">
        <f>IF(ISBLANK(B211),A210,IFERROR(INDEX(Reaches!$A$7:$A$60,MATCH(B211,Reaches!$B$7:$B$60,0)),-1))</f>
        <v>10</v>
      </c>
      <c r="B211" t="s">
        <v>22</v>
      </c>
      <c r="C211" s="1">
        <f>IFERROR(INDEX(Reaches!$G$7:$G$60,MATCH(B211,Reaches!$B$7:$B$60,0)),"")</f>
        <v>5</v>
      </c>
      <c r="D211" s="3">
        <v>0</v>
      </c>
      <c r="E211">
        <v>0</v>
      </c>
      <c r="F211" t="s">
        <v>227</v>
      </c>
    </row>
    <row r="212" spans="1:6" x14ac:dyDescent="0.25">
      <c r="A212">
        <f>IF(ISBLANK(B212),A211,IFERROR(INDEX(Reaches!$A$7:$A$60,MATCH(B212,Reaches!$B$7:$B$60,0)),-1))</f>
        <v>10</v>
      </c>
      <c r="C212" s="1" t="str">
        <f>IFERROR(INDEX(Reaches!$G$7:$G$60,MATCH(B212,Reaches!$B$7:$B$60,0)),"")</f>
        <v/>
      </c>
      <c r="D212" s="3">
        <v>348.73</v>
      </c>
      <c r="E212">
        <v>200</v>
      </c>
    </row>
    <row r="213" spans="1:6" x14ac:dyDescent="0.25">
      <c r="A213">
        <f>IF(ISBLANK(B213),A212,IFERROR(INDEX(Reaches!$A$7:$A$60,MATCH(B213,Reaches!$B$7:$B$60,0)),-1))</f>
        <v>10</v>
      </c>
      <c r="C213" s="1" t="str">
        <f>IFERROR(INDEX(Reaches!$G$7:$G$60,MATCH(B213,Reaches!$B$7:$B$60,0)),"")</f>
        <v/>
      </c>
      <c r="D213" s="3">
        <v>929.28</v>
      </c>
      <c r="E213">
        <v>1000</v>
      </c>
    </row>
    <row r="214" spans="1:6" x14ac:dyDescent="0.25">
      <c r="A214">
        <f>IF(ISBLANK(B214),A213,IFERROR(INDEX(Reaches!$A$7:$A$60,MATCH(B214,Reaches!$B$7:$B$60,0)),-1))</f>
        <v>10</v>
      </c>
      <c r="C214" s="1" t="str">
        <f>IFERROR(INDEX(Reaches!$G$7:$G$60,MATCH(B214,Reaches!$B$7:$B$60,0)),"")</f>
        <v/>
      </c>
      <c r="D214" s="3">
        <v>1494.23</v>
      </c>
      <c r="E214">
        <v>2000</v>
      </c>
    </row>
    <row r="215" spans="1:6" x14ac:dyDescent="0.25">
      <c r="A215">
        <f>IF(ISBLANK(B215),A214,IFERROR(INDEX(Reaches!$A$7:$A$60,MATCH(B215,Reaches!$B$7:$B$60,0)),-1))</f>
        <v>10</v>
      </c>
      <c r="C215" s="1" t="str">
        <f>IFERROR(INDEX(Reaches!$G$7:$G$60,MATCH(B215,Reaches!$B$7:$B$60,0)),"")</f>
        <v/>
      </c>
      <c r="D215" s="3">
        <v>2035.4800000000002</v>
      </c>
      <c r="E215">
        <v>3000</v>
      </c>
    </row>
    <row r="216" spans="1:6" x14ac:dyDescent="0.25">
      <c r="A216">
        <f>IF(ISBLANK(B216),A215,IFERROR(INDEX(Reaches!$A$7:$A$60,MATCH(B216,Reaches!$B$7:$B$60,0)),-1))</f>
        <v>10</v>
      </c>
      <c r="C216" s="1" t="str">
        <f>IFERROR(INDEX(Reaches!$G$7:$G$60,MATCH(B216,Reaches!$B$7:$B$60,0)),"")</f>
        <v/>
      </c>
      <c r="D216" s="3">
        <v>2569.5</v>
      </c>
      <c r="E216">
        <v>4000</v>
      </c>
    </row>
    <row r="217" spans="1:6" x14ac:dyDescent="0.25">
      <c r="A217">
        <f>IF(ISBLANK(B217),A216,IFERROR(INDEX(Reaches!$A$7:$A$60,MATCH(B217,Reaches!$B$7:$B$60,0)),-1))</f>
        <v>10</v>
      </c>
      <c r="C217" s="1" t="str">
        <f>IFERROR(INDEX(Reaches!$G$7:$G$60,MATCH(B217,Reaches!$B$7:$B$60,0)),"")</f>
        <v/>
      </c>
      <c r="D217" s="3">
        <v>3633.71</v>
      </c>
      <c r="E217">
        <v>6000</v>
      </c>
    </row>
    <row r="218" spans="1:6" x14ac:dyDescent="0.25">
      <c r="A218">
        <f>IF(ISBLANK(B218),A217,IFERROR(INDEX(Reaches!$A$7:$A$60,MATCH(B218,Reaches!$B$7:$B$60,0)),-1))</f>
        <v>10</v>
      </c>
      <c r="C218" s="1" t="str">
        <f>IFERROR(INDEX(Reaches!$G$7:$G$60,MATCH(B218,Reaches!$B$7:$B$60,0)),"")</f>
        <v/>
      </c>
      <c r="D218" s="3">
        <v>4677.22</v>
      </c>
      <c r="E218">
        <v>8000</v>
      </c>
    </row>
    <row r="219" spans="1:6" x14ac:dyDescent="0.25">
      <c r="A219">
        <f>IF(ISBLANK(B219),A218,IFERROR(INDEX(Reaches!$A$7:$A$60,MATCH(B219,Reaches!$B$7:$B$60,0)),-1))</f>
        <v>10</v>
      </c>
      <c r="C219" s="1" t="str">
        <f>IFERROR(INDEX(Reaches!$G$7:$G$60,MATCH(B219,Reaches!$B$7:$B$60,0)),"")</f>
        <v/>
      </c>
      <c r="D219" s="3">
        <v>5739.55</v>
      </c>
      <c r="E219">
        <v>10000</v>
      </c>
    </row>
    <row r="220" spans="1:6" x14ac:dyDescent="0.25">
      <c r="A220">
        <f>IF(ISBLANK(B220),A219,IFERROR(INDEX(Reaches!$A$7:$A$60,MATCH(B220,Reaches!$B$7:$B$60,0)),-1))</f>
        <v>10</v>
      </c>
      <c r="C220" s="1" t="str">
        <f>IFERROR(INDEX(Reaches!$G$7:$G$60,MATCH(B220,Reaches!$B$7:$B$60,0)),"")</f>
        <v/>
      </c>
      <c r="D220" s="3">
        <v>6833.8700000000008</v>
      </c>
      <c r="E220">
        <v>12000</v>
      </c>
    </row>
    <row r="221" spans="1:6" x14ac:dyDescent="0.25">
      <c r="A221">
        <f>IF(ISBLANK(B221),A220,IFERROR(INDEX(Reaches!$A$7:$A$60,MATCH(B221,Reaches!$B$7:$B$60,0)),-1))</f>
        <v>10</v>
      </c>
      <c r="C221" s="1" t="str">
        <f>IFERROR(INDEX(Reaches!$G$7:$G$60,MATCH(B221,Reaches!$B$7:$B$60,0)),"")</f>
        <v/>
      </c>
      <c r="D221" s="3">
        <v>11543.43</v>
      </c>
      <c r="E221">
        <v>20000</v>
      </c>
    </row>
    <row r="222" spans="1:6" x14ac:dyDescent="0.25">
      <c r="A222">
        <f>IF(ISBLANK(B222),A221,IFERROR(INDEX(Reaches!$A$7:$A$60,MATCH(B222,Reaches!$B$7:$B$60,0)),-1))</f>
        <v>10</v>
      </c>
      <c r="C222" s="1" t="str">
        <f>IFERROR(INDEX(Reaches!$G$7:$G$60,MATCH(B222,Reaches!$B$7:$B$60,0)),"")</f>
        <v/>
      </c>
      <c r="D222" s="3">
        <v>14650.929999999998</v>
      </c>
      <c r="E222">
        <v>25000</v>
      </c>
    </row>
    <row r="223" spans="1:6" x14ac:dyDescent="0.25">
      <c r="A223">
        <f>IF(ISBLANK(B223),A222,IFERROR(INDEX(Reaches!$A$7:$A$60,MATCH(B223,Reaches!$B$7:$B$60,0)),-1))</f>
        <v>10</v>
      </c>
      <c r="C223" s="1" t="str">
        <f>IFERROR(INDEX(Reaches!$G$7:$G$60,MATCH(B223,Reaches!$B$7:$B$60,0)),"")</f>
        <v/>
      </c>
      <c r="D223" s="3">
        <v>17879.400000000001</v>
      </c>
      <c r="E223">
        <v>30000</v>
      </c>
    </row>
    <row r="224" spans="1:6" x14ac:dyDescent="0.25">
      <c r="A224">
        <f>IF(ISBLANK(B224),A223,IFERROR(INDEX(Reaches!$A$7:$A$60,MATCH(B224,Reaches!$B$7:$B$60,0)),-1))</f>
        <v>10</v>
      </c>
      <c r="C224" s="1" t="str">
        <f>IFERROR(INDEX(Reaches!$G$7:$G$60,MATCH(B224,Reaches!$B$7:$B$60,0)),"")</f>
        <v/>
      </c>
      <c r="D224" s="3">
        <v>21142.49</v>
      </c>
      <c r="E224">
        <v>35000</v>
      </c>
    </row>
    <row r="225" spans="1:6" x14ac:dyDescent="0.25">
      <c r="A225">
        <f>IF(ISBLANK(B225),A224,IFERROR(INDEX(Reaches!$A$7:$A$60,MATCH(B225,Reaches!$B$7:$B$60,0)),-1))</f>
        <v>10</v>
      </c>
      <c r="C225" s="1" t="str">
        <f>IFERROR(INDEX(Reaches!$G$7:$G$60,MATCH(B225,Reaches!$B$7:$B$60,0)),"")</f>
        <v/>
      </c>
      <c r="D225" s="3">
        <v>24301.03</v>
      </c>
      <c r="E225">
        <v>40000</v>
      </c>
    </row>
    <row r="226" spans="1:6" x14ac:dyDescent="0.25">
      <c r="A226">
        <f>IF(ISBLANK(B226),A225,IFERROR(INDEX(Reaches!$A$7:$A$60,MATCH(B226,Reaches!$B$7:$B$60,0)),-1))</f>
        <v>10</v>
      </c>
      <c r="C226" s="1" t="str">
        <f>IFERROR(INDEX(Reaches!$G$7:$G$60,MATCH(B226,Reaches!$B$7:$B$60,0)),"")</f>
        <v/>
      </c>
      <c r="D226" s="3">
        <v>27337.990000000005</v>
      </c>
      <c r="E226">
        <v>45000</v>
      </c>
    </row>
    <row r="227" spans="1:6" x14ac:dyDescent="0.25">
      <c r="A227">
        <f>IF(ISBLANK(B227),A226,IFERROR(INDEX(Reaches!$A$7:$A$60,MATCH(B227,Reaches!$B$7:$B$60,0)),-1))</f>
        <v>10</v>
      </c>
      <c r="C227" s="1" t="str">
        <f>IFERROR(INDEX(Reaches!$G$7:$G$60,MATCH(B227,Reaches!$B$7:$B$60,0)),"")</f>
        <v/>
      </c>
      <c r="D227" s="3">
        <v>30161.48</v>
      </c>
      <c r="E227">
        <v>50000</v>
      </c>
    </row>
    <row r="228" spans="1:6" x14ac:dyDescent="0.25">
      <c r="A228">
        <f>IF(ISBLANK(B228),A227,IFERROR(INDEX(Reaches!$A$7:$A$60,MATCH(B228,Reaches!$B$7:$B$60,0)),-1))</f>
        <v>10</v>
      </c>
      <c r="C228" s="1" t="str">
        <f>IFERROR(INDEX(Reaches!$G$7:$G$60,MATCH(B228,Reaches!$B$7:$B$60,0)),"")</f>
        <v/>
      </c>
      <c r="D228" s="3">
        <v>32931.089999999997</v>
      </c>
      <c r="E228">
        <v>55000</v>
      </c>
    </row>
    <row r="229" spans="1:6" x14ac:dyDescent="0.25">
      <c r="A229">
        <f>IF(ISBLANK(B229),A228,IFERROR(INDEX(Reaches!$A$7:$A$60,MATCH(B229,Reaches!$B$7:$B$60,0)),-1))</f>
        <v>10</v>
      </c>
      <c r="C229" s="1" t="str">
        <f>IFERROR(INDEX(Reaches!$G$7:$G$60,MATCH(B229,Reaches!$B$7:$B$60,0)),"")</f>
        <v/>
      </c>
      <c r="D229" s="3">
        <v>34934.850000000006</v>
      </c>
      <c r="E229">
        <v>58500</v>
      </c>
    </row>
    <row r="230" spans="1:6" x14ac:dyDescent="0.25">
      <c r="A230">
        <f>IF(ISBLANK(B230),A229,IFERROR(INDEX(Reaches!$A$7:$A$60,MATCH(B230,Reaches!$B$7:$B$60,0)),-1))</f>
        <v>10</v>
      </c>
      <c r="C230" s="1" t="str">
        <f>IFERROR(INDEX(Reaches!$G$7:$G$60,MATCH(B230,Reaches!$B$7:$B$60,0)),"")</f>
        <v/>
      </c>
      <c r="D230" s="3">
        <v>35660.429999999993</v>
      </c>
      <c r="E230">
        <v>60000</v>
      </c>
    </row>
    <row r="231" spans="1:6" x14ac:dyDescent="0.25">
      <c r="A231">
        <f>IF(ISBLANK(B231),A230,IFERROR(INDEX(Reaches!$A$7:$A$60,MATCH(B231,Reaches!$B$7:$B$60,0)),-1))</f>
        <v>10</v>
      </c>
      <c r="C231" s="1" t="str">
        <f>IFERROR(INDEX(Reaches!$G$7:$G$60,MATCH(B231,Reaches!$B$7:$B$60,0)),"")</f>
        <v/>
      </c>
      <c r="D231" s="3">
        <v>59844.69</v>
      </c>
      <c r="E231">
        <v>120000</v>
      </c>
    </row>
    <row r="232" spans="1:6" x14ac:dyDescent="0.25">
      <c r="A232">
        <f>IF(ISBLANK(B232),A231,IFERROR(INDEX(Reaches!$A$7:$A$60,MATCH(B232,Reaches!$B$7:$B$60,0)),-1))</f>
        <v>10</v>
      </c>
      <c r="C232" s="1" t="str">
        <f>IFERROR(INDEX(Reaches!$G$7:$G$60,MATCH(B232,Reaches!$B$7:$B$60,0)),"")</f>
        <v/>
      </c>
      <c r="D232" s="3">
        <v>96854.78</v>
      </c>
      <c r="E232">
        <v>240000</v>
      </c>
    </row>
    <row r="233" spans="1:6" x14ac:dyDescent="0.25">
      <c r="A233">
        <f>IF(ISBLANK(B233),A232,IFERROR(INDEX(Reaches!$A$7:$A$60,MATCH(B233,Reaches!$B$7:$B$60,0)),-1))</f>
        <v>10</v>
      </c>
      <c r="C233" s="1" t="str">
        <f>IFERROR(INDEX(Reaches!$G$7:$G$60,MATCH(B233,Reaches!$B$7:$B$60,0)),"")</f>
        <v/>
      </c>
      <c r="D233" s="3">
        <v>150693.72</v>
      </c>
      <c r="E233">
        <v>480000</v>
      </c>
    </row>
    <row r="234" spans="1:6" x14ac:dyDescent="0.25">
      <c r="A234">
        <f>IF(ISBLANK(B234),A233,IFERROR(INDEX(Reaches!$A$7:$A$60,MATCH(B234,Reaches!$B$7:$B$60,0)),-1))</f>
        <v>10</v>
      </c>
      <c r="C234" s="1" t="str">
        <f>IFERROR(INDEX(Reaches!$G$7:$G$60,MATCH(B234,Reaches!$B$7:$B$60,0)),"")</f>
        <v/>
      </c>
      <c r="D234" s="3">
        <v>174574.4</v>
      </c>
      <c r="E234">
        <v>600000</v>
      </c>
    </row>
    <row r="235" spans="1:6" x14ac:dyDescent="0.25">
      <c r="A235">
        <f>IF(ISBLANK(B235),A234,IFERROR(INDEX(Reaches!$A$7:$A$60,MATCH(B235,Reaches!$B$7:$B$60,0)),-1))</f>
        <v>11</v>
      </c>
      <c r="B235" t="s">
        <v>5</v>
      </c>
      <c r="C235" s="1">
        <f>IFERROR(INDEX(Reaches!$G$7:$G$60,MATCH(B235,Reaches!$B$7:$B$60,0)),"")</f>
        <v>2</v>
      </c>
      <c r="D235" s="3">
        <v>0</v>
      </c>
      <c r="E235">
        <v>0</v>
      </c>
      <c r="F235" t="s">
        <v>227</v>
      </c>
    </row>
    <row r="236" spans="1:6" x14ac:dyDescent="0.25">
      <c r="A236">
        <f>IF(ISBLANK(B236),A235,IFERROR(INDEX(Reaches!$A$7:$A$60,MATCH(B236,Reaches!$B$7:$B$60,0)),-1))</f>
        <v>11</v>
      </c>
      <c r="C236" s="1" t="str">
        <f>IFERROR(INDEX(Reaches!$G$7:$G$60,MATCH(B236,Reaches!$B$7:$B$60,0)),"")</f>
        <v/>
      </c>
      <c r="D236" s="3">
        <v>83.15</v>
      </c>
      <c r="E236">
        <v>200</v>
      </c>
    </row>
    <row r="237" spans="1:6" x14ac:dyDescent="0.25">
      <c r="A237">
        <f>IF(ISBLANK(B237),A236,IFERROR(INDEX(Reaches!$A$7:$A$60,MATCH(B237,Reaches!$B$7:$B$60,0)),-1))</f>
        <v>11</v>
      </c>
      <c r="C237" s="1" t="str">
        <f>IFERROR(INDEX(Reaches!$G$7:$G$60,MATCH(B237,Reaches!$B$7:$B$60,0)),"")</f>
        <v/>
      </c>
      <c r="D237" s="3">
        <v>224.79</v>
      </c>
      <c r="E237">
        <v>1000</v>
      </c>
    </row>
    <row r="238" spans="1:6" x14ac:dyDescent="0.25">
      <c r="A238">
        <f>IF(ISBLANK(B238),A237,IFERROR(INDEX(Reaches!$A$7:$A$60,MATCH(B238,Reaches!$B$7:$B$60,0)),-1))</f>
        <v>11</v>
      </c>
      <c r="C238" s="1" t="str">
        <f>IFERROR(INDEX(Reaches!$G$7:$G$60,MATCH(B238,Reaches!$B$7:$B$60,0)),"")</f>
        <v/>
      </c>
      <c r="D238" s="3">
        <v>369.52</v>
      </c>
      <c r="E238">
        <v>2000</v>
      </c>
    </row>
    <row r="239" spans="1:6" x14ac:dyDescent="0.25">
      <c r="A239">
        <f>IF(ISBLANK(B239),A238,IFERROR(INDEX(Reaches!$A$7:$A$60,MATCH(B239,Reaches!$B$7:$B$60,0)),-1))</f>
        <v>11</v>
      </c>
      <c r="C239" s="1" t="str">
        <f>IFERROR(INDEX(Reaches!$G$7:$G$60,MATCH(B239,Reaches!$B$7:$B$60,0)),"")</f>
        <v/>
      </c>
      <c r="D239" s="3">
        <v>523.29999999999995</v>
      </c>
      <c r="E239">
        <v>3000</v>
      </c>
    </row>
    <row r="240" spans="1:6" x14ac:dyDescent="0.25">
      <c r="A240">
        <f>IF(ISBLANK(B240),A239,IFERROR(INDEX(Reaches!$A$7:$A$60,MATCH(B240,Reaches!$B$7:$B$60,0)),-1))</f>
        <v>11</v>
      </c>
      <c r="C240" s="1" t="str">
        <f>IFERROR(INDEX(Reaches!$G$7:$G$60,MATCH(B240,Reaches!$B$7:$B$60,0)),"")</f>
        <v/>
      </c>
      <c r="D240" s="3">
        <v>674.96</v>
      </c>
      <c r="E240">
        <v>4000</v>
      </c>
    </row>
    <row r="241" spans="1:5" x14ac:dyDescent="0.25">
      <c r="A241">
        <f>IF(ISBLANK(B241),A240,IFERROR(INDEX(Reaches!$A$7:$A$60,MATCH(B241,Reaches!$B$7:$B$60,0)),-1))</f>
        <v>11</v>
      </c>
      <c r="C241" s="1" t="str">
        <f>IFERROR(INDEX(Reaches!$G$7:$G$60,MATCH(B241,Reaches!$B$7:$B$60,0)),"")</f>
        <v/>
      </c>
      <c r="D241" s="3">
        <v>964.5</v>
      </c>
      <c r="E241">
        <v>6000</v>
      </c>
    </row>
    <row r="242" spans="1:5" x14ac:dyDescent="0.25">
      <c r="A242">
        <f>IF(ISBLANK(B242),A241,IFERROR(INDEX(Reaches!$A$7:$A$60,MATCH(B242,Reaches!$B$7:$B$60,0)),-1))</f>
        <v>11</v>
      </c>
      <c r="C242" s="1" t="str">
        <f>IFERROR(INDEX(Reaches!$G$7:$G$60,MATCH(B242,Reaches!$B$7:$B$60,0)),"")</f>
        <v/>
      </c>
      <c r="D242" s="3">
        <v>1302.74</v>
      </c>
      <c r="E242">
        <v>8000</v>
      </c>
    </row>
    <row r="243" spans="1:5" x14ac:dyDescent="0.25">
      <c r="A243">
        <f>IF(ISBLANK(B243),A242,IFERROR(INDEX(Reaches!$A$7:$A$60,MATCH(B243,Reaches!$B$7:$B$60,0)),-1))</f>
        <v>11</v>
      </c>
      <c r="C243" s="1" t="str">
        <f>IFERROR(INDEX(Reaches!$G$7:$G$60,MATCH(B243,Reaches!$B$7:$B$60,0)),"")</f>
        <v/>
      </c>
      <c r="D243" s="3">
        <v>1678.96</v>
      </c>
      <c r="E243">
        <v>10000</v>
      </c>
    </row>
    <row r="244" spans="1:5" x14ac:dyDescent="0.25">
      <c r="A244">
        <f>IF(ISBLANK(B244),A243,IFERROR(INDEX(Reaches!$A$7:$A$60,MATCH(B244,Reaches!$B$7:$B$60,0)),-1))</f>
        <v>11</v>
      </c>
      <c r="C244" s="1" t="str">
        <f>IFERROR(INDEX(Reaches!$G$7:$G$60,MATCH(B244,Reaches!$B$7:$B$60,0)),"")</f>
        <v/>
      </c>
      <c r="D244" s="3">
        <v>2210.81</v>
      </c>
      <c r="E244">
        <v>12000</v>
      </c>
    </row>
    <row r="245" spans="1:5" x14ac:dyDescent="0.25">
      <c r="A245">
        <f>IF(ISBLANK(B245),A244,IFERROR(INDEX(Reaches!$A$7:$A$60,MATCH(B245,Reaches!$B$7:$B$60,0)),-1))</f>
        <v>11</v>
      </c>
      <c r="C245" s="1" t="str">
        <f>IFERROR(INDEX(Reaches!$G$7:$G$60,MATCH(B245,Reaches!$B$7:$B$60,0)),"")</f>
        <v/>
      </c>
      <c r="D245" s="3">
        <v>4023.3</v>
      </c>
      <c r="E245">
        <v>20000</v>
      </c>
    </row>
    <row r="246" spans="1:5" x14ac:dyDescent="0.25">
      <c r="A246">
        <f>IF(ISBLANK(B246),A245,IFERROR(INDEX(Reaches!$A$7:$A$60,MATCH(B246,Reaches!$B$7:$B$60,0)),-1))</f>
        <v>11</v>
      </c>
      <c r="C246" s="1" t="str">
        <f>IFERROR(INDEX(Reaches!$G$7:$G$60,MATCH(B246,Reaches!$B$7:$B$60,0)),"")</f>
        <v/>
      </c>
      <c r="D246" s="3">
        <v>5454.08</v>
      </c>
      <c r="E246">
        <v>25000</v>
      </c>
    </row>
    <row r="247" spans="1:5" x14ac:dyDescent="0.25">
      <c r="A247">
        <f>IF(ISBLANK(B247),A246,IFERROR(INDEX(Reaches!$A$7:$A$60,MATCH(B247,Reaches!$B$7:$B$60,0)),-1))</f>
        <v>11</v>
      </c>
      <c r="C247" s="1" t="str">
        <f>IFERROR(INDEX(Reaches!$G$7:$G$60,MATCH(B247,Reaches!$B$7:$B$60,0)),"")</f>
        <v/>
      </c>
      <c r="D247" s="3">
        <v>6938.76</v>
      </c>
      <c r="E247">
        <v>30000</v>
      </c>
    </row>
    <row r="248" spans="1:5" x14ac:dyDescent="0.25">
      <c r="A248">
        <f>IF(ISBLANK(B248),A247,IFERROR(INDEX(Reaches!$A$7:$A$60,MATCH(B248,Reaches!$B$7:$B$60,0)),-1))</f>
        <v>11</v>
      </c>
      <c r="C248" s="1" t="str">
        <f>IFERROR(INDEX(Reaches!$G$7:$G$60,MATCH(B248,Reaches!$B$7:$B$60,0)),"")</f>
        <v/>
      </c>
      <c r="D248" s="3">
        <v>8377.59</v>
      </c>
      <c r="E248">
        <v>35000</v>
      </c>
    </row>
    <row r="249" spans="1:5" x14ac:dyDescent="0.25">
      <c r="A249">
        <f>IF(ISBLANK(B249),A248,IFERROR(INDEX(Reaches!$A$7:$A$60,MATCH(B249,Reaches!$B$7:$B$60,0)),-1))</f>
        <v>11</v>
      </c>
      <c r="C249" s="1" t="str">
        <f>IFERROR(INDEX(Reaches!$G$7:$G$60,MATCH(B249,Reaches!$B$7:$B$60,0)),"")</f>
        <v/>
      </c>
      <c r="D249" s="3">
        <v>9928.76</v>
      </c>
      <c r="E249">
        <v>40000</v>
      </c>
    </row>
    <row r="250" spans="1:5" x14ac:dyDescent="0.25">
      <c r="A250">
        <f>IF(ISBLANK(B250),A249,IFERROR(INDEX(Reaches!$A$7:$A$60,MATCH(B250,Reaches!$B$7:$B$60,0)),-1))</f>
        <v>11</v>
      </c>
      <c r="C250" s="1" t="str">
        <f>IFERROR(INDEX(Reaches!$G$7:$G$60,MATCH(B250,Reaches!$B$7:$B$60,0)),"")</f>
        <v/>
      </c>
      <c r="D250" s="3">
        <v>11499.38</v>
      </c>
      <c r="E250">
        <v>45000</v>
      </c>
    </row>
    <row r="251" spans="1:5" x14ac:dyDescent="0.25">
      <c r="A251">
        <f>IF(ISBLANK(B251),A250,IFERROR(INDEX(Reaches!$A$7:$A$60,MATCH(B251,Reaches!$B$7:$B$60,0)),-1))</f>
        <v>11</v>
      </c>
      <c r="C251" s="1" t="str">
        <f>IFERROR(INDEX(Reaches!$G$7:$G$60,MATCH(B251,Reaches!$B$7:$B$60,0)),"")</f>
        <v/>
      </c>
      <c r="D251" s="3">
        <v>13270.66</v>
      </c>
      <c r="E251">
        <v>50000</v>
      </c>
    </row>
    <row r="252" spans="1:5" x14ac:dyDescent="0.25">
      <c r="A252">
        <f>IF(ISBLANK(B252),A251,IFERROR(INDEX(Reaches!$A$7:$A$60,MATCH(B252,Reaches!$B$7:$B$60,0)),-1))</f>
        <v>11</v>
      </c>
      <c r="C252" s="1" t="str">
        <f>IFERROR(INDEX(Reaches!$G$7:$G$60,MATCH(B252,Reaches!$B$7:$B$60,0)),"")</f>
        <v/>
      </c>
      <c r="D252" s="3">
        <v>13745.48</v>
      </c>
      <c r="E252">
        <v>55000</v>
      </c>
    </row>
    <row r="253" spans="1:5" x14ac:dyDescent="0.25">
      <c r="A253">
        <f>IF(ISBLANK(B253),A252,IFERROR(INDEX(Reaches!$A$7:$A$60,MATCH(B253,Reaches!$B$7:$B$60,0)),-1))</f>
        <v>11</v>
      </c>
      <c r="C253" s="1" t="str">
        <f>IFERROR(INDEX(Reaches!$G$7:$G$60,MATCH(B253,Reaches!$B$7:$B$60,0)),"")</f>
        <v/>
      </c>
      <c r="D253" s="3">
        <v>14634.56</v>
      </c>
      <c r="E253">
        <v>58500</v>
      </c>
    </row>
    <row r="254" spans="1:5" x14ac:dyDescent="0.25">
      <c r="A254">
        <f>IF(ISBLANK(B254),A253,IFERROR(INDEX(Reaches!$A$7:$A$60,MATCH(B254,Reaches!$B$7:$B$60,0)),-1))</f>
        <v>11</v>
      </c>
      <c r="C254" s="1" t="str">
        <f>IFERROR(INDEX(Reaches!$G$7:$G$60,MATCH(B254,Reaches!$B$7:$B$60,0)),"")</f>
        <v/>
      </c>
      <c r="D254" s="3">
        <v>15053.34</v>
      </c>
      <c r="E254">
        <v>60000</v>
      </c>
    </row>
    <row r="255" spans="1:5" x14ac:dyDescent="0.25">
      <c r="A255">
        <f>IF(ISBLANK(B255),A254,IFERROR(INDEX(Reaches!$A$7:$A$60,MATCH(B255,Reaches!$B$7:$B$60,0)),-1))</f>
        <v>11</v>
      </c>
      <c r="C255" s="1" t="str">
        <f>IFERROR(INDEX(Reaches!$G$7:$G$60,MATCH(B255,Reaches!$B$7:$B$60,0)),"")</f>
        <v/>
      </c>
      <c r="D255" s="3">
        <v>26580.59</v>
      </c>
      <c r="E255">
        <v>120000</v>
      </c>
    </row>
    <row r="256" spans="1:5" x14ac:dyDescent="0.25">
      <c r="A256">
        <f>IF(ISBLANK(B256),A255,IFERROR(INDEX(Reaches!$A$7:$A$60,MATCH(B256,Reaches!$B$7:$B$60,0)),-1))</f>
        <v>11</v>
      </c>
      <c r="C256" s="1" t="str">
        <f>IFERROR(INDEX(Reaches!$G$7:$G$60,MATCH(B256,Reaches!$B$7:$B$60,0)),"")</f>
        <v/>
      </c>
      <c r="D256" s="3">
        <v>47327.82</v>
      </c>
      <c r="E256">
        <v>240000</v>
      </c>
    </row>
    <row r="257" spans="1:6" x14ac:dyDescent="0.25">
      <c r="A257">
        <f>IF(ISBLANK(B257),A256,IFERROR(INDEX(Reaches!$A$7:$A$60,MATCH(B257,Reaches!$B$7:$B$60,0)),-1))</f>
        <v>11</v>
      </c>
      <c r="C257" s="1" t="str">
        <f>IFERROR(INDEX(Reaches!$G$7:$G$60,MATCH(B257,Reaches!$B$7:$B$60,0)),"")</f>
        <v/>
      </c>
      <c r="D257" s="3">
        <v>80350.38</v>
      </c>
      <c r="E257">
        <v>480000</v>
      </c>
    </row>
    <row r="258" spans="1:6" x14ac:dyDescent="0.25">
      <c r="A258">
        <f>IF(ISBLANK(B258),A257,IFERROR(INDEX(Reaches!$A$7:$A$60,MATCH(B258,Reaches!$B$7:$B$60,0)),-1))</f>
        <v>11</v>
      </c>
      <c r="C258" s="1" t="str">
        <f>IFERROR(INDEX(Reaches!$G$7:$G$60,MATCH(B258,Reaches!$B$7:$B$60,0)),"")</f>
        <v/>
      </c>
      <c r="D258" s="3">
        <v>146262.9</v>
      </c>
      <c r="E258">
        <v>600000</v>
      </c>
    </row>
    <row r="259" spans="1:6" x14ac:dyDescent="0.25">
      <c r="A259">
        <f>IF(ISBLANK(B259),A258,IFERROR(INDEX(Reaches!$A$7:$A$60,MATCH(B259,Reaches!$B$7:$B$60,0)),-1))</f>
        <v>12</v>
      </c>
      <c r="B259" t="s">
        <v>89</v>
      </c>
      <c r="C259" s="1">
        <f>IFERROR(INDEX(Reaches!$G$7:$G$60,MATCH(B259,Reaches!$B$7:$B$60,0)),"")</f>
        <v>3</v>
      </c>
      <c r="D259" s="3">
        <v>0</v>
      </c>
      <c r="E259">
        <v>0</v>
      </c>
      <c r="F259" t="s">
        <v>228</v>
      </c>
    </row>
    <row r="260" spans="1:6" x14ac:dyDescent="0.25">
      <c r="A260">
        <f>IF(ISBLANK(B260),A259,IFERROR(INDEX(Reaches!$A$7:$A$60,MATCH(B260,Reaches!$B$7:$B$60,0)),-1))</f>
        <v>12</v>
      </c>
      <c r="C260" s="1" t="str">
        <f>IFERROR(INDEX(Reaches!$G$7:$G$60,MATCH(B260,Reaches!$B$7:$B$60,0)),"")</f>
        <v/>
      </c>
      <c r="D260" s="3">
        <v>438.75</v>
      </c>
      <c r="E260">
        <v>1500</v>
      </c>
    </row>
    <row r="261" spans="1:6" x14ac:dyDescent="0.25">
      <c r="A261">
        <f>IF(ISBLANK(B261),A260,IFERROR(INDEX(Reaches!$A$7:$A$60,MATCH(B261,Reaches!$B$7:$B$60,0)),-1))</f>
        <v>12</v>
      </c>
      <c r="C261" s="1" t="str">
        <f>IFERROR(INDEX(Reaches!$G$7:$G$60,MATCH(B261,Reaches!$B$7:$B$60,0)),"")</f>
        <v/>
      </c>
      <c r="D261" s="3">
        <v>731.25</v>
      </c>
      <c r="E261">
        <v>2500</v>
      </c>
    </row>
    <row r="262" spans="1:6" x14ac:dyDescent="0.25">
      <c r="A262">
        <f>IF(ISBLANK(B262),A261,IFERROR(INDEX(Reaches!$A$7:$A$60,MATCH(B262,Reaches!$B$7:$B$60,0)),-1))</f>
        <v>12</v>
      </c>
      <c r="C262" s="1" t="str">
        <f>IFERROR(INDEX(Reaches!$G$7:$G$60,MATCH(B262,Reaches!$B$7:$B$60,0)),"")</f>
        <v/>
      </c>
      <c r="D262" s="3">
        <v>1462.5</v>
      </c>
      <c r="E262">
        <v>5000</v>
      </c>
    </row>
    <row r="263" spans="1:6" x14ac:dyDescent="0.25">
      <c r="A263">
        <f>IF(ISBLANK(B263),A262,IFERROR(INDEX(Reaches!$A$7:$A$60,MATCH(B263,Reaches!$B$7:$B$60,0)),-1))</f>
        <v>12</v>
      </c>
      <c r="C263" s="1" t="str">
        <f>IFERROR(INDEX(Reaches!$G$7:$G$60,MATCH(B263,Reaches!$B$7:$B$60,0)),"")</f>
        <v/>
      </c>
      <c r="D263" s="3">
        <v>2925</v>
      </c>
      <c r="E263">
        <v>10000</v>
      </c>
    </row>
    <row r="264" spans="1:6" x14ac:dyDescent="0.25">
      <c r="A264">
        <f>IF(ISBLANK(B264),A263,IFERROR(INDEX(Reaches!$A$7:$A$60,MATCH(B264,Reaches!$B$7:$B$60,0)),-1))</f>
        <v>12</v>
      </c>
      <c r="C264" s="1" t="str">
        <f>IFERROR(INDEX(Reaches!$G$7:$G$60,MATCH(B264,Reaches!$B$7:$B$60,0)),"")</f>
        <v/>
      </c>
      <c r="D264" s="3">
        <v>4387.5</v>
      </c>
      <c r="E264">
        <v>15000</v>
      </c>
    </row>
    <row r="265" spans="1:6" x14ac:dyDescent="0.25">
      <c r="A265">
        <f>IF(ISBLANK(B265),A264,IFERROR(INDEX(Reaches!$A$7:$A$60,MATCH(B265,Reaches!$B$7:$B$60,0)),-1))</f>
        <v>12</v>
      </c>
      <c r="C265" s="1" t="str">
        <f>IFERROR(INDEX(Reaches!$G$7:$G$60,MATCH(B265,Reaches!$B$7:$B$60,0)),"")</f>
        <v/>
      </c>
      <c r="D265" s="3">
        <v>5850</v>
      </c>
      <c r="E265">
        <v>20000</v>
      </c>
    </row>
    <row r="266" spans="1:6" x14ac:dyDescent="0.25">
      <c r="A266">
        <f>IF(ISBLANK(B266),A265,IFERROR(INDEX(Reaches!$A$7:$A$60,MATCH(B266,Reaches!$B$7:$B$60,0)),-1))</f>
        <v>12</v>
      </c>
      <c r="C266" s="1" t="str">
        <f>IFERROR(INDEX(Reaches!$G$7:$G$60,MATCH(B266,Reaches!$B$7:$B$60,0)),"")</f>
        <v/>
      </c>
      <c r="D266" s="3">
        <v>7312.5</v>
      </c>
      <c r="E266">
        <v>25000</v>
      </c>
    </row>
    <row r="267" spans="1:6" x14ac:dyDescent="0.25">
      <c r="A267">
        <f>IF(ISBLANK(B267),A266,IFERROR(INDEX(Reaches!$A$7:$A$60,MATCH(B267,Reaches!$B$7:$B$60,0)),-1))</f>
        <v>12</v>
      </c>
      <c r="C267" s="1" t="str">
        <f>IFERROR(INDEX(Reaches!$G$7:$G$60,MATCH(B267,Reaches!$B$7:$B$60,0)),"")</f>
        <v/>
      </c>
      <c r="D267" s="3">
        <v>8775</v>
      </c>
      <c r="E267">
        <v>30000</v>
      </c>
    </row>
    <row r="268" spans="1:6" x14ac:dyDescent="0.25">
      <c r="A268">
        <f>IF(ISBLANK(B268),A267,IFERROR(INDEX(Reaches!$A$7:$A$60,MATCH(B268,Reaches!$B$7:$B$60,0)),-1))</f>
        <v>12</v>
      </c>
      <c r="C268" s="1" t="str">
        <f>IFERROR(INDEX(Reaches!$G$7:$G$60,MATCH(B268,Reaches!$B$7:$B$60,0)),"")</f>
        <v/>
      </c>
      <c r="D268" s="3">
        <v>11700</v>
      </c>
      <c r="E268">
        <v>40000</v>
      </c>
    </row>
    <row r="269" spans="1:6" x14ac:dyDescent="0.25">
      <c r="A269">
        <f>IF(ISBLANK(B269),A268,IFERROR(INDEX(Reaches!$A$7:$A$60,MATCH(B269,Reaches!$B$7:$B$60,0)),-1))</f>
        <v>12</v>
      </c>
      <c r="C269" s="1" t="str">
        <f>IFERROR(INDEX(Reaches!$G$7:$G$60,MATCH(B269,Reaches!$B$7:$B$60,0)),"")</f>
        <v/>
      </c>
      <c r="D269" s="3">
        <v>13162.5</v>
      </c>
      <c r="E269">
        <v>45000</v>
      </c>
    </row>
    <row r="270" spans="1:6" x14ac:dyDescent="0.25">
      <c r="A270">
        <f>IF(ISBLANK(B270),A269,IFERROR(INDEX(Reaches!$A$7:$A$60,MATCH(B270,Reaches!$B$7:$B$60,0)),-1))</f>
        <v>12</v>
      </c>
      <c r="C270" s="1" t="str">
        <f>IFERROR(INDEX(Reaches!$G$7:$G$60,MATCH(B270,Reaches!$B$7:$B$60,0)),"")</f>
        <v/>
      </c>
      <c r="D270" s="3">
        <v>14625</v>
      </c>
      <c r="E270">
        <v>50000</v>
      </c>
    </row>
    <row r="271" spans="1:6" x14ac:dyDescent="0.25">
      <c r="A271">
        <f>IF(ISBLANK(B271),A270,IFERROR(INDEX(Reaches!$A$7:$A$60,MATCH(B271,Reaches!$B$7:$B$60,0)),-1))</f>
        <v>12</v>
      </c>
      <c r="C271" s="1" t="str">
        <f>IFERROR(INDEX(Reaches!$G$7:$G$60,MATCH(B271,Reaches!$B$7:$B$60,0)),"")</f>
        <v/>
      </c>
      <c r="D271" s="3">
        <v>16087.499999999998</v>
      </c>
      <c r="E271">
        <v>55000</v>
      </c>
    </row>
    <row r="272" spans="1:6" x14ac:dyDescent="0.25">
      <c r="A272">
        <f>IF(ISBLANK(B272),A271,IFERROR(INDEX(Reaches!$A$7:$A$60,MATCH(B272,Reaches!$B$7:$B$60,0)),-1))</f>
        <v>12</v>
      </c>
      <c r="C272" s="1" t="str">
        <f>IFERROR(INDEX(Reaches!$G$7:$G$60,MATCH(B272,Reaches!$B$7:$B$60,0)),"")</f>
        <v/>
      </c>
      <c r="D272" s="3">
        <v>17550</v>
      </c>
      <c r="E272">
        <v>60000</v>
      </c>
    </row>
    <row r="273" spans="1:5" x14ac:dyDescent="0.25">
      <c r="A273">
        <f>IF(ISBLANK(B273),A272,IFERROR(INDEX(Reaches!$A$7:$A$60,MATCH(B273,Reaches!$B$7:$B$60,0)),-1))</f>
        <v>12</v>
      </c>
      <c r="C273" s="1" t="str">
        <f>IFERROR(INDEX(Reaches!$G$7:$G$60,MATCH(B273,Reaches!$B$7:$B$60,0)),"")</f>
        <v/>
      </c>
      <c r="D273" s="3">
        <v>19012.5</v>
      </c>
      <c r="E273">
        <v>65000</v>
      </c>
    </row>
    <row r="274" spans="1:5" x14ac:dyDescent="0.25">
      <c r="A274">
        <f>IF(ISBLANK(B274),A273,IFERROR(INDEX(Reaches!$A$7:$A$60,MATCH(B274,Reaches!$B$7:$B$60,0)),-1))</f>
        <v>12</v>
      </c>
      <c r="C274" s="1" t="str">
        <f>IFERROR(INDEX(Reaches!$G$7:$G$60,MATCH(B274,Reaches!$B$7:$B$60,0)),"")</f>
        <v/>
      </c>
      <c r="D274" s="3">
        <v>20475</v>
      </c>
      <c r="E274">
        <v>70000</v>
      </c>
    </row>
    <row r="275" spans="1:5" x14ac:dyDescent="0.25">
      <c r="A275">
        <f>IF(ISBLANK(B275),A274,IFERROR(INDEX(Reaches!$A$7:$A$60,MATCH(B275,Reaches!$B$7:$B$60,0)),-1))</f>
        <v>12</v>
      </c>
      <c r="C275" s="1" t="str">
        <f>IFERROR(INDEX(Reaches!$G$7:$G$60,MATCH(B275,Reaches!$B$7:$B$60,0)),"")</f>
        <v/>
      </c>
      <c r="D275" s="3">
        <v>21937.5</v>
      </c>
      <c r="E275">
        <v>75000</v>
      </c>
    </row>
    <row r="276" spans="1:5" x14ac:dyDescent="0.25">
      <c r="A276">
        <f>IF(ISBLANK(B276),A275,IFERROR(INDEX(Reaches!$A$7:$A$60,MATCH(B276,Reaches!$B$7:$B$60,0)),-1))</f>
        <v>12</v>
      </c>
      <c r="C276" s="1" t="str">
        <f>IFERROR(INDEX(Reaches!$G$7:$G$60,MATCH(B276,Reaches!$B$7:$B$60,0)),"")</f>
        <v/>
      </c>
      <c r="D276" s="3">
        <v>23400</v>
      </c>
      <c r="E276">
        <v>80000</v>
      </c>
    </row>
    <row r="277" spans="1:5" x14ac:dyDescent="0.25">
      <c r="A277">
        <f>IF(ISBLANK(B277),A276,IFERROR(INDEX(Reaches!$A$7:$A$60,MATCH(B277,Reaches!$B$7:$B$60,0)),-1))</f>
        <v>12</v>
      </c>
      <c r="C277" s="1" t="str">
        <f>IFERROR(INDEX(Reaches!$G$7:$G$60,MATCH(B277,Reaches!$B$7:$B$60,0)),"")</f>
        <v/>
      </c>
      <c r="D277" s="3">
        <v>29250</v>
      </c>
      <c r="E277">
        <v>100000</v>
      </c>
    </row>
    <row r="278" spans="1:5" x14ac:dyDescent="0.25">
      <c r="A278">
        <f>IF(ISBLANK(B278),A277,IFERROR(INDEX(Reaches!$A$7:$A$60,MATCH(B278,Reaches!$B$7:$B$60,0)),-1))</f>
        <v>12</v>
      </c>
      <c r="C278" s="1" t="str">
        <f>IFERROR(INDEX(Reaches!$G$7:$G$60,MATCH(B278,Reaches!$B$7:$B$60,0)),"")</f>
        <v/>
      </c>
      <c r="D278" s="3">
        <v>468000</v>
      </c>
      <c r="E278">
        <v>1600000</v>
      </c>
    </row>
    <row r="279" spans="1:5" x14ac:dyDescent="0.25">
      <c r="A279">
        <f>IF(ISBLANK(B279),A278,IFERROR(INDEX(Reaches!$A$7:$A$60,MATCH(B279,Reaches!$B$7:$B$60,0)),-1))</f>
        <v>14</v>
      </c>
      <c r="B279" t="s">
        <v>32</v>
      </c>
      <c r="C279" s="1">
        <f>IFERROR(INDEX(Reaches!$G$7:$G$60,MATCH(B279,Reaches!$B$7:$B$60,0)),"")</f>
        <v>1</v>
      </c>
      <c r="D279" s="3">
        <v>0</v>
      </c>
      <c r="E279">
        <v>0</v>
      </c>
    </row>
    <row r="280" spans="1:5" x14ac:dyDescent="0.25">
      <c r="A280">
        <f>IF(ISBLANK(B280),A279,IFERROR(INDEX(Reaches!$A$7:$A$60,MATCH(B280,Reaches!$B$7:$B$60,0)),-1))</f>
        <v>14</v>
      </c>
      <c r="C280" s="1" t="str">
        <f>IFERROR(INDEX(Reaches!$G$7:$G$60,MATCH(B280,Reaches!$B$7:$B$60,0)),"")</f>
        <v/>
      </c>
      <c r="D280" s="3">
        <v>133</v>
      </c>
      <c r="E280">
        <v>350</v>
      </c>
    </row>
    <row r="281" spans="1:5" x14ac:dyDescent="0.25">
      <c r="A281">
        <f>IF(ISBLANK(B281),A280,IFERROR(INDEX(Reaches!$A$7:$A$60,MATCH(B281,Reaches!$B$7:$B$60,0)),-1))</f>
        <v>14</v>
      </c>
      <c r="C281" s="1" t="str">
        <f>IFERROR(INDEX(Reaches!$G$7:$G$60,MATCH(B281,Reaches!$B$7:$B$60,0)),"")</f>
        <v/>
      </c>
      <c r="D281" s="3">
        <v>159</v>
      </c>
      <c r="E281">
        <v>500</v>
      </c>
    </row>
    <row r="282" spans="1:5" x14ac:dyDescent="0.25">
      <c r="A282">
        <f>IF(ISBLANK(B282),A281,IFERROR(INDEX(Reaches!$A$7:$A$60,MATCH(B282,Reaches!$B$7:$B$60,0)),-1))</f>
        <v>14</v>
      </c>
      <c r="C282" s="1" t="str">
        <f>IFERROR(INDEX(Reaches!$G$7:$G$60,MATCH(B282,Reaches!$B$7:$B$60,0)),"")</f>
        <v/>
      </c>
      <c r="D282" s="3">
        <v>227</v>
      </c>
      <c r="E282">
        <v>1000</v>
      </c>
    </row>
    <row r="283" spans="1:5" x14ac:dyDescent="0.25">
      <c r="A283">
        <f>IF(ISBLANK(B283),A282,IFERROR(INDEX(Reaches!$A$7:$A$60,MATCH(B283,Reaches!$B$7:$B$60,0)),-1))</f>
        <v>14</v>
      </c>
      <c r="C283" s="1" t="str">
        <f>IFERROR(INDEX(Reaches!$G$7:$G$60,MATCH(B283,Reaches!$B$7:$B$60,0)),"")</f>
        <v/>
      </c>
      <c r="D283" s="3">
        <v>288</v>
      </c>
      <c r="E283">
        <v>1500</v>
      </c>
    </row>
    <row r="284" spans="1:5" x14ac:dyDescent="0.25">
      <c r="A284">
        <f>IF(ISBLANK(B284),A283,IFERROR(INDEX(Reaches!$A$7:$A$60,MATCH(B284,Reaches!$B$7:$B$60,0)),-1))</f>
        <v>14</v>
      </c>
      <c r="C284" s="1" t="str">
        <f>IFERROR(INDEX(Reaches!$G$7:$G$60,MATCH(B284,Reaches!$B$7:$B$60,0)),"")</f>
        <v/>
      </c>
      <c r="D284" s="3">
        <v>413</v>
      </c>
      <c r="E284">
        <v>2500</v>
      </c>
    </row>
    <row r="285" spans="1:5" x14ac:dyDescent="0.25">
      <c r="A285">
        <f>IF(ISBLANK(B285),A284,IFERROR(INDEX(Reaches!$A$7:$A$60,MATCH(B285,Reaches!$B$7:$B$60,0)),-1))</f>
        <v>14</v>
      </c>
      <c r="C285" s="1" t="str">
        <f>IFERROR(INDEX(Reaches!$G$7:$G$60,MATCH(B285,Reaches!$B$7:$B$60,0)),"")</f>
        <v/>
      </c>
      <c r="D285" s="3">
        <v>474</v>
      </c>
      <c r="E285">
        <v>3000</v>
      </c>
    </row>
    <row r="286" spans="1:5" x14ac:dyDescent="0.25">
      <c r="A286">
        <f>IF(ISBLANK(B286),A285,IFERROR(INDEX(Reaches!$A$7:$A$60,MATCH(B286,Reaches!$B$7:$B$60,0)),-1))</f>
        <v>14</v>
      </c>
      <c r="C286" s="1" t="str">
        <f>IFERROR(INDEX(Reaches!$G$7:$G$60,MATCH(B286,Reaches!$B$7:$B$60,0)),"")</f>
        <v/>
      </c>
      <c r="D286" s="3">
        <v>537</v>
      </c>
      <c r="E286">
        <v>3500</v>
      </c>
    </row>
    <row r="287" spans="1:5" x14ac:dyDescent="0.25">
      <c r="A287">
        <f>IF(ISBLANK(B287),A286,IFERROR(INDEX(Reaches!$A$7:$A$60,MATCH(B287,Reaches!$B$7:$B$60,0)),-1))</f>
        <v>14</v>
      </c>
      <c r="C287" s="1" t="str">
        <f>IFERROR(INDEX(Reaches!$G$7:$G$60,MATCH(B287,Reaches!$B$7:$B$60,0)),"")</f>
        <v/>
      </c>
      <c r="D287" s="3">
        <v>606</v>
      </c>
      <c r="E287">
        <v>4000</v>
      </c>
    </row>
    <row r="288" spans="1:5" x14ac:dyDescent="0.25">
      <c r="A288">
        <f>IF(ISBLANK(B288),A287,IFERROR(INDEX(Reaches!$A$7:$A$60,MATCH(B288,Reaches!$B$7:$B$60,0)),-1))</f>
        <v>14</v>
      </c>
      <c r="C288" s="1" t="str">
        <f>IFERROR(INDEX(Reaches!$G$7:$G$60,MATCH(B288,Reaches!$B$7:$B$60,0)),"")</f>
        <v/>
      </c>
      <c r="D288" s="3">
        <v>763</v>
      </c>
      <c r="E288">
        <v>5000</v>
      </c>
    </row>
    <row r="289" spans="1:5" x14ac:dyDescent="0.25">
      <c r="A289">
        <f>IF(ISBLANK(B289),A288,IFERROR(INDEX(Reaches!$A$7:$A$60,MATCH(B289,Reaches!$B$7:$B$60,0)),-1))</f>
        <v>14</v>
      </c>
      <c r="C289" s="1" t="str">
        <f>IFERROR(INDEX(Reaches!$G$7:$G$60,MATCH(B289,Reaches!$B$7:$B$60,0)),"")</f>
        <v/>
      </c>
      <c r="D289" s="3">
        <v>911</v>
      </c>
      <c r="E289">
        <v>6000</v>
      </c>
    </row>
    <row r="290" spans="1:5" x14ac:dyDescent="0.25">
      <c r="A290">
        <f>IF(ISBLANK(B290),A289,IFERROR(INDEX(Reaches!$A$7:$A$60,MATCH(B290,Reaches!$B$7:$B$60,0)),-1))</f>
        <v>14</v>
      </c>
      <c r="C290" s="1" t="str">
        <f>IFERROR(INDEX(Reaches!$G$7:$G$60,MATCH(B290,Reaches!$B$7:$B$60,0)),"")</f>
        <v/>
      </c>
      <c r="D290" s="3">
        <v>1150</v>
      </c>
      <c r="E290">
        <v>8000</v>
      </c>
    </row>
    <row r="291" spans="1:5" x14ac:dyDescent="0.25">
      <c r="A291">
        <f>IF(ISBLANK(B291),A290,IFERROR(INDEX(Reaches!$A$7:$A$60,MATCH(B291,Reaches!$B$7:$B$60,0)),-1))</f>
        <v>14</v>
      </c>
      <c r="C291" s="1" t="str">
        <f>IFERROR(INDEX(Reaches!$G$7:$G$60,MATCH(B291,Reaches!$B$7:$B$60,0)),"")</f>
        <v/>
      </c>
      <c r="D291" s="3">
        <v>1394</v>
      </c>
      <c r="E291">
        <v>10000</v>
      </c>
    </row>
    <row r="292" spans="1:5" x14ac:dyDescent="0.25">
      <c r="A292">
        <f>IF(ISBLANK(B292),A291,IFERROR(INDEX(Reaches!$A$7:$A$60,MATCH(B292,Reaches!$B$7:$B$60,0)),-1))</f>
        <v>14</v>
      </c>
      <c r="C292" s="1" t="str">
        <f>IFERROR(INDEX(Reaches!$G$7:$G$60,MATCH(B292,Reaches!$B$7:$B$60,0)),"")</f>
        <v/>
      </c>
      <c r="D292" s="3">
        <v>1612</v>
      </c>
      <c r="E292">
        <v>12000</v>
      </c>
    </row>
    <row r="293" spans="1:5" x14ac:dyDescent="0.25">
      <c r="A293">
        <f>IF(ISBLANK(B293),A292,IFERROR(INDEX(Reaches!$A$7:$A$60,MATCH(B293,Reaches!$B$7:$B$60,0)),-1))</f>
        <v>14</v>
      </c>
      <c r="C293" s="1" t="str">
        <f>IFERROR(INDEX(Reaches!$G$7:$G$60,MATCH(B293,Reaches!$B$7:$B$60,0)),"")</f>
        <v/>
      </c>
      <c r="D293" s="3">
        <v>1820</v>
      </c>
      <c r="E293">
        <v>14000</v>
      </c>
    </row>
    <row r="294" spans="1:5" x14ac:dyDescent="0.25">
      <c r="A294">
        <f>IF(ISBLANK(B294),A293,IFERROR(INDEX(Reaches!$A$7:$A$60,MATCH(B294,Reaches!$B$7:$B$60,0)),-1))</f>
        <v>14</v>
      </c>
      <c r="C294" s="1" t="str">
        <f>IFERROR(INDEX(Reaches!$G$7:$G$60,MATCH(B294,Reaches!$B$7:$B$60,0)),"")</f>
        <v/>
      </c>
      <c r="D294" s="3">
        <v>2020</v>
      </c>
      <c r="E294">
        <v>16000</v>
      </c>
    </row>
    <row r="295" spans="1:5" x14ac:dyDescent="0.25">
      <c r="A295">
        <f>IF(ISBLANK(B295),A294,IFERROR(INDEX(Reaches!$A$7:$A$60,MATCH(B295,Reaches!$B$7:$B$60,0)),-1))</f>
        <v>14</v>
      </c>
      <c r="C295" s="1" t="str">
        <f>IFERROR(INDEX(Reaches!$G$7:$G$60,MATCH(B295,Reaches!$B$7:$B$60,0)),"")</f>
        <v/>
      </c>
      <c r="D295" s="3">
        <v>2210</v>
      </c>
      <c r="E295">
        <v>18000</v>
      </c>
    </row>
    <row r="296" spans="1:5" x14ac:dyDescent="0.25">
      <c r="A296">
        <f>IF(ISBLANK(B296),A295,IFERROR(INDEX(Reaches!$A$7:$A$60,MATCH(B296,Reaches!$B$7:$B$60,0)),-1))</f>
        <v>14</v>
      </c>
      <c r="C296" s="1" t="str">
        <f>IFERROR(INDEX(Reaches!$G$7:$G$60,MATCH(B296,Reaches!$B$7:$B$60,0)),"")</f>
        <v/>
      </c>
      <c r="D296" s="3">
        <v>2396</v>
      </c>
      <c r="E296">
        <v>20000</v>
      </c>
    </row>
    <row r="297" spans="1:5" x14ac:dyDescent="0.25">
      <c r="A297">
        <f>IF(ISBLANK(B297),A296,IFERROR(INDEX(Reaches!$A$7:$A$60,MATCH(B297,Reaches!$B$7:$B$60,0)),-1))</f>
        <v>14</v>
      </c>
      <c r="C297" s="1" t="str">
        <f>IFERROR(INDEX(Reaches!$G$7:$G$60,MATCH(B297,Reaches!$B$7:$B$60,0)),"")</f>
        <v/>
      </c>
      <c r="D297" s="3">
        <v>2857</v>
      </c>
      <c r="E297">
        <v>24500</v>
      </c>
    </row>
    <row r="298" spans="1:5" x14ac:dyDescent="0.25">
      <c r="A298">
        <f>IF(ISBLANK(B298),A297,IFERROR(INDEX(Reaches!$A$7:$A$60,MATCH(B298,Reaches!$B$7:$B$60,0)),-1))</f>
        <v>14</v>
      </c>
      <c r="C298" s="1" t="str">
        <f>IFERROR(INDEX(Reaches!$G$7:$G$60,MATCH(B298,Reaches!$B$7:$B$60,0)),"")</f>
        <v/>
      </c>
      <c r="D298" s="3">
        <v>3478</v>
      </c>
      <c r="E298">
        <v>30000</v>
      </c>
    </row>
    <row r="299" spans="1:5" x14ac:dyDescent="0.25">
      <c r="A299">
        <f>IF(ISBLANK(B299),A298,IFERROR(INDEX(Reaches!$A$7:$A$60,MATCH(B299,Reaches!$B$7:$B$60,0)),-1))</f>
        <v>14</v>
      </c>
      <c r="C299" s="1" t="str">
        <f>IFERROR(INDEX(Reaches!$G$7:$G$60,MATCH(B299,Reaches!$B$7:$B$60,0)),"")</f>
        <v/>
      </c>
      <c r="D299" s="3">
        <v>101565</v>
      </c>
      <c r="E299">
        <v>3000000</v>
      </c>
    </row>
    <row r="300" spans="1:5" x14ac:dyDescent="0.25">
      <c r="A300">
        <f>IF(ISBLANK(B300),A299,IFERROR(INDEX(Reaches!$A$7:$A$60,MATCH(B300,Reaches!$B$7:$B$60,0)),-1))</f>
        <v>15</v>
      </c>
      <c r="B300" t="s">
        <v>13</v>
      </c>
      <c r="C300" s="1">
        <f>IFERROR(INDEX(Reaches!$G$7:$G$60,MATCH(B300,Reaches!$B$7:$B$60,0)),"")</f>
        <v>1</v>
      </c>
      <c r="D300" s="3">
        <v>0</v>
      </c>
      <c r="E300">
        <v>0</v>
      </c>
    </row>
    <row r="301" spans="1:5" x14ac:dyDescent="0.25">
      <c r="A301">
        <f>IF(ISBLANK(B301),A300,IFERROR(INDEX(Reaches!$A$7:$A$60,MATCH(B301,Reaches!$B$7:$B$60,0)),-1))</f>
        <v>15</v>
      </c>
      <c r="C301" s="1" t="str">
        <f>IFERROR(INDEX(Reaches!$G$7:$G$60,MATCH(B301,Reaches!$B$7:$B$60,0)),"")</f>
        <v/>
      </c>
      <c r="D301" s="3">
        <v>54</v>
      </c>
      <c r="E301">
        <v>350</v>
      </c>
    </row>
    <row r="302" spans="1:5" x14ac:dyDescent="0.25">
      <c r="A302">
        <f>IF(ISBLANK(B302),A301,IFERROR(INDEX(Reaches!$A$7:$A$60,MATCH(B302,Reaches!$B$7:$B$60,0)),-1))</f>
        <v>15</v>
      </c>
      <c r="C302" s="1" t="str">
        <f>IFERROR(INDEX(Reaches!$G$7:$G$60,MATCH(B302,Reaches!$B$7:$B$60,0)),"")</f>
        <v/>
      </c>
      <c r="D302" s="3">
        <v>70</v>
      </c>
      <c r="E302">
        <v>500</v>
      </c>
    </row>
    <row r="303" spans="1:5" x14ac:dyDescent="0.25">
      <c r="A303">
        <f>IF(ISBLANK(B303),A302,IFERROR(INDEX(Reaches!$A$7:$A$60,MATCH(B303,Reaches!$B$7:$B$60,0)),-1))</f>
        <v>15</v>
      </c>
      <c r="C303" s="1" t="str">
        <f>IFERROR(INDEX(Reaches!$G$7:$G$60,MATCH(B303,Reaches!$B$7:$B$60,0)),"")</f>
        <v/>
      </c>
      <c r="D303" s="3">
        <v>115</v>
      </c>
      <c r="E303">
        <v>1000</v>
      </c>
    </row>
    <row r="304" spans="1:5" x14ac:dyDescent="0.25">
      <c r="A304">
        <f>IF(ISBLANK(B304),A303,IFERROR(INDEX(Reaches!$A$7:$A$60,MATCH(B304,Reaches!$B$7:$B$60,0)),-1))</f>
        <v>15</v>
      </c>
      <c r="C304" s="1" t="str">
        <f>IFERROR(INDEX(Reaches!$G$7:$G$60,MATCH(B304,Reaches!$B$7:$B$60,0)),"")</f>
        <v/>
      </c>
      <c r="D304" s="3">
        <v>159</v>
      </c>
      <c r="E304">
        <v>1500</v>
      </c>
    </row>
    <row r="305" spans="1:5" x14ac:dyDescent="0.25">
      <c r="A305">
        <f>IF(ISBLANK(B305),A304,IFERROR(INDEX(Reaches!$A$7:$A$60,MATCH(B305,Reaches!$B$7:$B$60,0)),-1))</f>
        <v>15</v>
      </c>
      <c r="C305" s="1" t="str">
        <f>IFERROR(INDEX(Reaches!$G$7:$G$60,MATCH(B305,Reaches!$B$7:$B$60,0)),"")</f>
        <v/>
      </c>
      <c r="D305" s="3">
        <v>232</v>
      </c>
      <c r="E305">
        <v>2500</v>
      </c>
    </row>
    <row r="306" spans="1:5" x14ac:dyDescent="0.25">
      <c r="A306">
        <f>IF(ISBLANK(B306),A305,IFERROR(INDEX(Reaches!$A$7:$A$60,MATCH(B306,Reaches!$B$7:$B$60,0)),-1))</f>
        <v>15</v>
      </c>
      <c r="C306" s="1" t="str">
        <f>IFERROR(INDEX(Reaches!$G$7:$G$60,MATCH(B306,Reaches!$B$7:$B$60,0)),"")</f>
        <v/>
      </c>
      <c r="D306" s="3">
        <v>279</v>
      </c>
      <c r="E306">
        <v>3000</v>
      </c>
    </row>
    <row r="307" spans="1:5" x14ac:dyDescent="0.25">
      <c r="A307">
        <f>IF(ISBLANK(B307),A306,IFERROR(INDEX(Reaches!$A$7:$A$60,MATCH(B307,Reaches!$B$7:$B$60,0)),-1))</f>
        <v>15</v>
      </c>
      <c r="C307" s="1" t="str">
        <f>IFERROR(INDEX(Reaches!$G$7:$G$60,MATCH(B307,Reaches!$B$7:$B$60,0)),"")</f>
        <v/>
      </c>
      <c r="D307" s="3">
        <v>320</v>
      </c>
      <c r="E307">
        <v>3500</v>
      </c>
    </row>
    <row r="308" spans="1:5" x14ac:dyDescent="0.25">
      <c r="A308">
        <f>IF(ISBLANK(B308),A307,IFERROR(INDEX(Reaches!$A$7:$A$60,MATCH(B308,Reaches!$B$7:$B$60,0)),-1))</f>
        <v>15</v>
      </c>
      <c r="C308" s="1" t="str">
        <f>IFERROR(INDEX(Reaches!$G$7:$G$60,MATCH(B308,Reaches!$B$7:$B$60,0)),"")</f>
        <v/>
      </c>
      <c r="D308" s="3">
        <v>363</v>
      </c>
      <c r="E308">
        <v>4000</v>
      </c>
    </row>
    <row r="309" spans="1:5" x14ac:dyDescent="0.25">
      <c r="A309">
        <f>IF(ISBLANK(B309),A308,IFERROR(INDEX(Reaches!$A$7:$A$60,MATCH(B309,Reaches!$B$7:$B$60,0)),-1))</f>
        <v>15</v>
      </c>
      <c r="C309" s="1" t="str">
        <f>IFERROR(INDEX(Reaches!$G$7:$G$60,MATCH(B309,Reaches!$B$7:$B$60,0)),"")</f>
        <v/>
      </c>
      <c r="D309" s="3">
        <v>447</v>
      </c>
      <c r="E309">
        <v>5000</v>
      </c>
    </row>
    <row r="310" spans="1:5" x14ac:dyDescent="0.25">
      <c r="A310">
        <f>IF(ISBLANK(B310),A309,IFERROR(INDEX(Reaches!$A$7:$A$60,MATCH(B310,Reaches!$B$7:$B$60,0)),-1))</f>
        <v>15</v>
      </c>
      <c r="C310" s="1" t="str">
        <f>IFERROR(INDEX(Reaches!$G$7:$G$60,MATCH(B310,Reaches!$B$7:$B$60,0)),"")</f>
        <v/>
      </c>
      <c r="D310" s="3">
        <v>527</v>
      </c>
      <c r="E310">
        <v>6000</v>
      </c>
    </row>
    <row r="311" spans="1:5" x14ac:dyDescent="0.25">
      <c r="A311">
        <f>IF(ISBLANK(B311),A310,IFERROR(INDEX(Reaches!$A$7:$A$60,MATCH(B311,Reaches!$B$7:$B$60,0)),-1))</f>
        <v>15</v>
      </c>
      <c r="C311" s="1" t="str">
        <f>IFERROR(INDEX(Reaches!$G$7:$G$60,MATCH(B311,Reaches!$B$7:$B$60,0)),"")</f>
        <v/>
      </c>
      <c r="D311" s="3">
        <v>657</v>
      </c>
      <c r="E311">
        <v>8000</v>
      </c>
    </row>
    <row r="312" spans="1:5" x14ac:dyDescent="0.25">
      <c r="A312">
        <f>IF(ISBLANK(B312),A311,IFERROR(INDEX(Reaches!$A$7:$A$60,MATCH(B312,Reaches!$B$7:$B$60,0)),-1))</f>
        <v>15</v>
      </c>
      <c r="C312" s="1" t="str">
        <f>IFERROR(INDEX(Reaches!$G$7:$G$60,MATCH(B312,Reaches!$B$7:$B$60,0)),"")</f>
        <v/>
      </c>
      <c r="D312" s="3">
        <v>778</v>
      </c>
      <c r="E312">
        <v>10000</v>
      </c>
    </row>
    <row r="313" spans="1:5" x14ac:dyDescent="0.25">
      <c r="A313">
        <f>IF(ISBLANK(B313),A312,IFERROR(INDEX(Reaches!$A$7:$A$60,MATCH(B313,Reaches!$B$7:$B$60,0)),-1))</f>
        <v>15</v>
      </c>
      <c r="C313" s="1" t="str">
        <f>IFERROR(INDEX(Reaches!$G$7:$G$60,MATCH(B313,Reaches!$B$7:$B$60,0)),"")</f>
        <v/>
      </c>
      <c r="D313" s="3">
        <v>893</v>
      </c>
      <c r="E313">
        <v>12000</v>
      </c>
    </row>
    <row r="314" spans="1:5" x14ac:dyDescent="0.25">
      <c r="A314">
        <f>IF(ISBLANK(B314),A313,IFERROR(INDEX(Reaches!$A$7:$A$60,MATCH(B314,Reaches!$B$7:$B$60,0)),-1))</f>
        <v>15</v>
      </c>
      <c r="C314" s="1" t="str">
        <f>IFERROR(INDEX(Reaches!$G$7:$G$60,MATCH(B314,Reaches!$B$7:$B$60,0)),"")</f>
        <v/>
      </c>
      <c r="D314" s="3">
        <v>1013</v>
      </c>
      <c r="E314">
        <v>14000</v>
      </c>
    </row>
    <row r="315" spans="1:5" x14ac:dyDescent="0.25">
      <c r="A315">
        <f>IF(ISBLANK(B315),A314,IFERROR(INDEX(Reaches!$A$7:$A$60,MATCH(B315,Reaches!$B$7:$B$60,0)),-1))</f>
        <v>15</v>
      </c>
      <c r="C315" s="1" t="str">
        <f>IFERROR(INDEX(Reaches!$G$7:$G$60,MATCH(B315,Reaches!$B$7:$B$60,0)),"")</f>
        <v/>
      </c>
      <c r="D315" s="3">
        <v>1132</v>
      </c>
      <c r="E315">
        <v>16000</v>
      </c>
    </row>
    <row r="316" spans="1:5" x14ac:dyDescent="0.25">
      <c r="A316">
        <f>IF(ISBLANK(B316),A315,IFERROR(INDEX(Reaches!$A$7:$A$60,MATCH(B316,Reaches!$B$7:$B$60,0)),-1))</f>
        <v>15</v>
      </c>
      <c r="C316" s="1" t="str">
        <f>IFERROR(INDEX(Reaches!$G$7:$G$60,MATCH(B316,Reaches!$B$7:$B$60,0)),"")</f>
        <v/>
      </c>
      <c r="D316" s="3">
        <v>1255</v>
      </c>
      <c r="E316">
        <v>18000</v>
      </c>
    </row>
    <row r="317" spans="1:5" x14ac:dyDescent="0.25">
      <c r="A317">
        <f>IF(ISBLANK(B317),A316,IFERROR(INDEX(Reaches!$A$7:$A$60,MATCH(B317,Reaches!$B$7:$B$60,0)),-1))</f>
        <v>15</v>
      </c>
      <c r="C317" s="1" t="str">
        <f>IFERROR(INDEX(Reaches!$G$7:$G$60,MATCH(B317,Reaches!$B$7:$B$60,0)),"")</f>
        <v/>
      </c>
      <c r="D317" s="3">
        <v>1395</v>
      </c>
      <c r="E317">
        <v>20000</v>
      </c>
    </row>
    <row r="318" spans="1:5" x14ac:dyDescent="0.25">
      <c r="A318">
        <f>IF(ISBLANK(B318),A317,IFERROR(INDEX(Reaches!$A$7:$A$60,MATCH(B318,Reaches!$B$7:$B$60,0)),-1))</f>
        <v>15</v>
      </c>
      <c r="C318" s="1" t="str">
        <f>IFERROR(INDEX(Reaches!$G$7:$G$60,MATCH(B318,Reaches!$B$7:$B$60,0)),"")</f>
        <v/>
      </c>
      <c r="D318" s="3">
        <v>1641</v>
      </c>
      <c r="E318">
        <v>24500</v>
      </c>
    </row>
    <row r="319" spans="1:5" x14ac:dyDescent="0.25">
      <c r="A319">
        <f>IF(ISBLANK(B319),A318,IFERROR(INDEX(Reaches!$A$7:$A$60,MATCH(B319,Reaches!$B$7:$B$60,0)),-1))</f>
        <v>15</v>
      </c>
      <c r="C319" s="1" t="str">
        <f>IFERROR(INDEX(Reaches!$G$7:$G$60,MATCH(B319,Reaches!$B$7:$B$60,0)),"")</f>
        <v/>
      </c>
      <c r="D319" s="3">
        <v>1952</v>
      </c>
      <c r="E319">
        <v>30000</v>
      </c>
    </row>
    <row r="320" spans="1:5" x14ac:dyDescent="0.25">
      <c r="A320">
        <f>IF(ISBLANK(B320),A319,IFERROR(INDEX(Reaches!$A$7:$A$60,MATCH(B320,Reaches!$B$7:$B$60,0)),-1))</f>
        <v>15</v>
      </c>
      <c r="C320" s="1" t="str">
        <f>IFERROR(INDEX(Reaches!$G$7:$G$60,MATCH(B320,Reaches!$B$7:$B$60,0)),"")</f>
        <v/>
      </c>
      <c r="D320" s="3">
        <v>81459</v>
      </c>
      <c r="E320">
        <v>3000000</v>
      </c>
    </row>
    <row r="321" spans="1:5" x14ac:dyDescent="0.25">
      <c r="A321">
        <f>IF(ISBLANK(B321),A320,IFERROR(INDEX(Reaches!$A$7:$A$60,MATCH(B321,Reaches!$B$7:$B$60,0)),-1))</f>
        <v>16</v>
      </c>
      <c r="B321" t="s">
        <v>90</v>
      </c>
      <c r="C321" s="1">
        <f>IFERROR(INDEX(Reaches!$G$7:$G$60,MATCH(B321,Reaches!$B$7:$B$60,0)),"")</f>
        <v>1</v>
      </c>
      <c r="D321" s="3">
        <v>0</v>
      </c>
      <c r="E321">
        <v>0</v>
      </c>
    </row>
    <row r="322" spans="1:5" x14ac:dyDescent="0.25">
      <c r="A322">
        <f>IF(ISBLANK(B322),A321,IFERROR(INDEX(Reaches!$A$7:$A$60,MATCH(B322,Reaches!$B$7:$B$60,0)),-1))</f>
        <v>16</v>
      </c>
      <c r="C322" s="1" t="str">
        <f>IFERROR(INDEX(Reaches!$G$7:$G$60,MATCH(B322,Reaches!$B$7:$B$60,0)),"")</f>
        <v/>
      </c>
      <c r="D322" s="3">
        <v>8.6</v>
      </c>
      <c r="E322">
        <v>75</v>
      </c>
    </row>
    <row r="323" spans="1:5" x14ac:dyDescent="0.25">
      <c r="A323">
        <f>IF(ISBLANK(B323),A322,IFERROR(INDEX(Reaches!$A$7:$A$60,MATCH(B323,Reaches!$B$7:$B$60,0)),-1))</f>
        <v>16</v>
      </c>
      <c r="C323" s="1" t="str">
        <f>IFERROR(INDEX(Reaches!$G$7:$G$60,MATCH(B323,Reaches!$B$7:$B$60,0)),"")</f>
        <v/>
      </c>
      <c r="D323" s="3">
        <v>11.8</v>
      </c>
      <c r="E323">
        <v>100</v>
      </c>
    </row>
    <row r="324" spans="1:5" x14ac:dyDescent="0.25">
      <c r="A324">
        <f>IF(ISBLANK(B324),A323,IFERROR(INDEX(Reaches!$A$7:$A$60,MATCH(B324,Reaches!$B$7:$B$60,0)),-1))</f>
        <v>16</v>
      </c>
      <c r="C324" s="1" t="str">
        <f>IFERROR(INDEX(Reaches!$G$7:$G$60,MATCH(B324,Reaches!$B$7:$B$60,0)),"")</f>
        <v/>
      </c>
      <c r="D324" s="3">
        <v>20</v>
      </c>
      <c r="E324">
        <v>250</v>
      </c>
    </row>
    <row r="325" spans="1:5" x14ac:dyDescent="0.25">
      <c r="A325">
        <f>IF(ISBLANK(B325),A324,IFERROR(INDEX(Reaches!$A$7:$A$60,MATCH(B325,Reaches!$B$7:$B$60,0)),-1))</f>
        <v>16</v>
      </c>
      <c r="C325" s="1" t="str">
        <f>IFERROR(INDEX(Reaches!$G$7:$G$60,MATCH(B325,Reaches!$B$7:$B$60,0)),"")</f>
        <v/>
      </c>
      <c r="D325" s="3">
        <v>30.6</v>
      </c>
      <c r="E325">
        <v>500</v>
      </c>
    </row>
    <row r="326" spans="1:5" x14ac:dyDescent="0.25">
      <c r="A326">
        <f>IF(ISBLANK(B326),A325,IFERROR(INDEX(Reaches!$A$7:$A$60,MATCH(B326,Reaches!$B$7:$B$60,0)),-1))</f>
        <v>16</v>
      </c>
      <c r="C326" s="1" t="str">
        <f>IFERROR(INDEX(Reaches!$G$7:$G$60,MATCH(B326,Reaches!$B$7:$B$60,0)),"")</f>
        <v/>
      </c>
      <c r="D326" s="3">
        <v>44.8</v>
      </c>
      <c r="E326">
        <v>1000</v>
      </c>
    </row>
    <row r="327" spans="1:5" x14ac:dyDescent="0.25">
      <c r="A327">
        <f>IF(ISBLANK(B327),A326,IFERROR(INDEX(Reaches!$A$7:$A$60,MATCH(B327,Reaches!$B$7:$B$60,0)),-1))</f>
        <v>16</v>
      </c>
      <c r="C327" s="1" t="str">
        <f>IFERROR(INDEX(Reaches!$G$7:$G$60,MATCH(B327,Reaches!$B$7:$B$60,0)),"")</f>
        <v/>
      </c>
      <c r="D327" s="3">
        <v>56.8</v>
      </c>
      <c r="E327">
        <v>1500</v>
      </c>
    </row>
    <row r="328" spans="1:5" x14ac:dyDescent="0.25">
      <c r="A328">
        <f>IF(ISBLANK(B328),A327,IFERROR(INDEX(Reaches!$A$7:$A$60,MATCH(B328,Reaches!$B$7:$B$60,0)),-1))</f>
        <v>16</v>
      </c>
      <c r="C328" s="1" t="str">
        <f>IFERROR(INDEX(Reaches!$G$7:$G$60,MATCH(B328,Reaches!$B$7:$B$60,0)),"")</f>
        <v/>
      </c>
      <c r="D328" s="3">
        <v>67.8</v>
      </c>
      <c r="E328">
        <v>2000</v>
      </c>
    </row>
    <row r="329" spans="1:5" x14ac:dyDescent="0.25">
      <c r="A329">
        <f>IF(ISBLANK(B329),A328,IFERROR(INDEX(Reaches!$A$7:$A$60,MATCH(B329,Reaches!$B$7:$B$60,0)),-1))</f>
        <v>16</v>
      </c>
      <c r="C329" s="1" t="str">
        <f>IFERROR(INDEX(Reaches!$G$7:$G$60,MATCH(B329,Reaches!$B$7:$B$60,0)),"")</f>
        <v/>
      </c>
      <c r="D329" s="3">
        <v>78.3</v>
      </c>
      <c r="E329">
        <v>2500</v>
      </c>
    </row>
    <row r="330" spans="1:5" x14ac:dyDescent="0.25">
      <c r="A330">
        <f>IF(ISBLANK(B330),A329,IFERROR(INDEX(Reaches!$A$7:$A$60,MATCH(B330,Reaches!$B$7:$B$60,0)),-1))</f>
        <v>16</v>
      </c>
      <c r="C330" s="1" t="str">
        <f>IFERROR(INDEX(Reaches!$G$7:$G$60,MATCH(B330,Reaches!$B$7:$B$60,0)),"")</f>
        <v/>
      </c>
      <c r="D330" s="3">
        <v>88.5</v>
      </c>
      <c r="E330">
        <v>3000</v>
      </c>
    </row>
    <row r="331" spans="1:5" x14ac:dyDescent="0.25">
      <c r="A331">
        <f>IF(ISBLANK(B331),A330,IFERROR(INDEX(Reaches!$A$7:$A$60,MATCH(B331,Reaches!$B$7:$B$60,0)),-1))</f>
        <v>16</v>
      </c>
      <c r="C331" s="1" t="str">
        <f>IFERROR(INDEX(Reaches!$G$7:$G$60,MATCH(B331,Reaches!$B$7:$B$60,0)),"")</f>
        <v/>
      </c>
      <c r="D331" s="3">
        <v>98.9</v>
      </c>
      <c r="E331">
        <v>3250</v>
      </c>
    </row>
    <row r="332" spans="1:5" x14ac:dyDescent="0.25">
      <c r="A332">
        <f>IF(ISBLANK(B332),A331,IFERROR(INDEX(Reaches!$A$7:$A$60,MATCH(B332,Reaches!$B$7:$B$60,0)),-1))</f>
        <v>16</v>
      </c>
      <c r="C332" s="1" t="str">
        <f>IFERROR(INDEX(Reaches!$G$7:$G$60,MATCH(B332,Reaches!$B$7:$B$60,0)),"")</f>
        <v/>
      </c>
      <c r="D332" s="3">
        <v>105.80000000000001</v>
      </c>
      <c r="E332">
        <v>3500</v>
      </c>
    </row>
    <row r="333" spans="1:5" x14ac:dyDescent="0.25">
      <c r="A333">
        <f>IF(ISBLANK(B333),A332,IFERROR(INDEX(Reaches!$A$7:$A$60,MATCH(B333,Reaches!$B$7:$B$60,0)),-1))</f>
        <v>16</v>
      </c>
      <c r="C333" s="1" t="str">
        <f>IFERROR(INDEX(Reaches!$G$7:$G$60,MATCH(B333,Reaches!$B$7:$B$60,0)),"")</f>
        <v/>
      </c>
      <c r="D333" s="3">
        <v>112.2</v>
      </c>
      <c r="E333">
        <v>3750</v>
      </c>
    </row>
    <row r="334" spans="1:5" x14ac:dyDescent="0.25">
      <c r="A334">
        <f>IF(ISBLANK(B334),A333,IFERROR(INDEX(Reaches!$A$7:$A$60,MATCH(B334,Reaches!$B$7:$B$60,0)),-1))</f>
        <v>16</v>
      </c>
      <c r="C334" s="1" t="str">
        <f>IFERROR(INDEX(Reaches!$G$7:$G$60,MATCH(B334,Reaches!$B$7:$B$60,0)),"")</f>
        <v/>
      </c>
      <c r="D334" s="3">
        <v>118.4</v>
      </c>
      <c r="E334">
        <v>4000</v>
      </c>
    </row>
    <row r="335" spans="1:5" x14ac:dyDescent="0.25">
      <c r="A335">
        <f>IF(ISBLANK(B335),A334,IFERROR(INDEX(Reaches!$A$7:$A$60,MATCH(B335,Reaches!$B$7:$B$60,0)),-1))</f>
        <v>16</v>
      </c>
      <c r="C335" s="1" t="str">
        <f>IFERROR(INDEX(Reaches!$G$7:$G$60,MATCH(B335,Reaches!$B$7:$B$60,0)),"")</f>
        <v/>
      </c>
      <c r="D335" s="3">
        <v>124.5</v>
      </c>
      <c r="E335">
        <v>4250</v>
      </c>
    </row>
    <row r="336" spans="1:5" x14ac:dyDescent="0.25">
      <c r="A336">
        <f>IF(ISBLANK(B336),A335,IFERROR(INDEX(Reaches!$A$7:$A$60,MATCH(B336,Reaches!$B$7:$B$60,0)),-1))</f>
        <v>16</v>
      </c>
      <c r="C336" s="1" t="str">
        <f>IFERROR(INDEX(Reaches!$G$7:$G$60,MATCH(B336,Reaches!$B$7:$B$60,0)),"")</f>
        <v/>
      </c>
      <c r="D336" s="3">
        <v>130.39999999999998</v>
      </c>
      <c r="E336">
        <v>4500</v>
      </c>
    </row>
    <row r="337" spans="1:5" x14ac:dyDescent="0.25">
      <c r="A337">
        <f>IF(ISBLANK(B337),A336,IFERROR(INDEX(Reaches!$A$7:$A$60,MATCH(B337,Reaches!$B$7:$B$60,0)),-1))</f>
        <v>16</v>
      </c>
      <c r="C337" s="1" t="str">
        <f>IFERROR(INDEX(Reaches!$G$7:$G$60,MATCH(B337,Reaches!$B$7:$B$60,0)),"")</f>
        <v/>
      </c>
      <c r="D337" s="3">
        <v>136.30000000000001</v>
      </c>
      <c r="E337">
        <v>4750</v>
      </c>
    </row>
    <row r="338" spans="1:5" x14ac:dyDescent="0.25">
      <c r="A338">
        <f>IF(ISBLANK(B338),A337,IFERROR(INDEX(Reaches!$A$7:$A$60,MATCH(B338,Reaches!$B$7:$B$60,0)),-1))</f>
        <v>16</v>
      </c>
      <c r="C338" s="1" t="str">
        <f>IFERROR(INDEX(Reaches!$G$7:$G$60,MATCH(B338,Reaches!$B$7:$B$60,0)),"")</f>
        <v/>
      </c>
      <c r="D338" s="3">
        <v>144.30000000000001</v>
      </c>
      <c r="E338">
        <v>5000</v>
      </c>
    </row>
    <row r="339" spans="1:5" x14ac:dyDescent="0.25">
      <c r="A339">
        <f>IF(ISBLANK(B339),A338,IFERROR(INDEX(Reaches!$A$7:$A$60,MATCH(B339,Reaches!$B$7:$B$60,0)),-1))</f>
        <v>16</v>
      </c>
      <c r="C339" s="1" t="str">
        <f>IFERROR(INDEX(Reaches!$G$7:$G$60,MATCH(B339,Reaches!$B$7:$B$60,0)),"")</f>
        <v/>
      </c>
      <c r="D339" s="3">
        <v>150.5</v>
      </c>
      <c r="E339">
        <v>5340</v>
      </c>
    </row>
    <row r="340" spans="1:5" x14ac:dyDescent="0.25">
      <c r="A340">
        <f>IF(ISBLANK(B340),A339,IFERROR(INDEX(Reaches!$A$7:$A$60,MATCH(B340,Reaches!$B$7:$B$60,0)),-1))</f>
        <v>16</v>
      </c>
      <c r="C340" s="1" t="str">
        <f>IFERROR(INDEX(Reaches!$G$7:$G$60,MATCH(B340,Reaches!$B$7:$B$60,0)),"")</f>
        <v/>
      </c>
      <c r="D340" s="3">
        <v>161</v>
      </c>
      <c r="E340">
        <v>6000</v>
      </c>
    </row>
    <row r="341" spans="1:5" x14ac:dyDescent="0.25">
      <c r="A341">
        <f>IF(ISBLANK(B341),A340,IFERROR(INDEX(Reaches!$A$7:$A$60,MATCH(B341,Reaches!$B$7:$B$60,0)),-1))</f>
        <v>16</v>
      </c>
      <c r="C341" s="1" t="str">
        <f>IFERROR(INDEX(Reaches!$G$7:$G$60,MATCH(B341,Reaches!$B$7:$B$60,0)),"")</f>
        <v/>
      </c>
      <c r="D341" s="3">
        <v>14752</v>
      </c>
      <c r="E341">
        <v>1300000</v>
      </c>
    </row>
    <row r="342" spans="1:5" x14ac:dyDescent="0.25">
      <c r="A342">
        <f>IF(ISBLANK(B342),A341,IFERROR(INDEX(Reaches!$A$7:$A$60,MATCH(B342,Reaches!$B$7:$B$60,0)),-1))</f>
        <v>17</v>
      </c>
      <c r="B342" t="s">
        <v>11</v>
      </c>
      <c r="C342" s="1">
        <f>IFERROR(INDEX(Reaches!$G$7:$G$60,MATCH(B342,Reaches!$B$7:$B$60,0)),"")</f>
        <v>2</v>
      </c>
      <c r="D342" s="3">
        <v>0</v>
      </c>
      <c r="E342">
        <v>0</v>
      </c>
    </row>
    <row r="343" spans="1:5" x14ac:dyDescent="0.25">
      <c r="A343">
        <f>IF(ISBLANK(B343),A342,IFERROR(INDEX(Reaches!$A$7:$A$60,MATCH(B343,Reaches!$B$7:$B$60,0)),-1))</f>
        <v>17</v>
      </c>
      <c r="C343" s="1" t="str">
        <f>IFERROR(INDEX(Reaches!$G$7:$G$60,MATCH(B343,Reaches!$B$7:$B$60,0)),"")</f>
        <v/>
      </c>
      <c r="D343" s="3">
        <v>237</v>
      </c>
      <c r="E343">
        <v>500</v>
      </c>
    </row>
    <row r="344" spans="1:5" x14ac:dyDescent="0.25">
      <c r="A344">
        <f>IF(ISBLANK(B344),A343,IFERROR(INDEX(Reaches!$A$7:$A$60,MATCH(B344,Reaches!$B$7:$B$60,0)),-1))</f>
        <v>17</v>
      </c>
      <c r="C344" s="1" t="str">
        <f>IFERROR(INDEX(Reaches!$G$7:$G$60,MATCH(B344,Reaches!$B$7:$B$60,0)),"")</f>
        <v/>
      </c>
      <c r="D344" s="3">
        <v>407</v>
      </c>
      <c r="E344">
        <v>1000</v>
      </c>
    </row>
    <row r="345" spans="1:5" x14ac:dyDescent="0.25">
      <c r="A345">
        <f>IF(ISBLANK(B345),A344,IFERROR(INDEX(Reaches!$A$7:$A$60,MATCH(B345,Reaches!$B$7:$B$60,0)),-1))</f>
        <v>17</v>
      </c>
      <c r="C345" s="1" t="str">
        <f>IFERROR(INDEX(Reaches!$G$7:$G$60,MATCH(B345,Reaches!$B$7:$B$60,0)),"")</f>
        <v/>
      </c>
      <c r="D345" s="3">
        <v>696</v>
      </c>
      <c r="E345">
        <v>2000</v>
      </c>
    </row>
    <row r="346" spans="1:5" x14ac:dyDescent="0.25">
      <c r="A346">
        <f>IF(ISBLANK(B346),A345,IFERROR(INDEX(Reaches!$A$7:$A$60,MATCH(B346,Reaches!$B$7:$B$60,0)),-1))</f>
        <v>17</v>
      </c>
      <c r="C346" s="1" t="str">
        <f>IFERROR(INDEX(Reaches!$G$7:$G$60,MATCH(B346,Reaches!$B$7:$B$60,0)),"")</f>
        <v/>
      </c>
      <c r="D346" s="3">
        <v>1171</v>
      </c>
      <c r="E346">
        <v>4000</v>
      </c>
    </row>
    <row r="347" spans="1:5" x14ac:dyDescent="0.25">
      <c r="A347">
        <f>IF(ISBLANK(B347),A346,IFERROR(INDEX(Reaches!$A$7:$A$60,MATCH(B347,Reaches!$B$7:$B$60,0)),-1))</f>
        <v>17</v>
      </c>
      <c r="C347" s="1" t="str">
        <f>IFERROR(INDEX(Reaches!$G$7:$G$60,MATCH(B347,Reaches!$B$7:$B$60,0)),"")</f>
        <v/>
      </c>
      <c r="D347" s="3">
        <v>1614</v>
      </c>
      <c r="E347">
        <v>6000</v>
      </c>
    </row>
    <row r="348" spans="1:5" x14ac:dyDescent="0.25">
      <c r="A348">
        <f>IF(ISBLANK(B348),A347,IFERROR(INDEX(Reaches!$A$7:$A$60,MATCH(B348,Reaches!$B$7:$B$60,0)),-1))</f>
        <v>17</v>
      </c>
      <c r="C348" s="1" t="str">
        <f>IFERROR(INDEX(Reaches!$G$7:$G$60,MATCH(B348,Reaches!$B$7:$B$60,0)),"")</f>
        <v/>
      </c>
      <c r="D348" s="3">
        <v>2014</v>
      </c>
      <c r="E348">
        <v>8000</v>
      </c>
    </row>
    <row r="349" spans="1:5" x14ac:dyDescent="0.25">
      <c r="A349">
        <f>IF(ISBLANK(B349),A348,IFERROR(INDEX(Reaches!$A$7:$A$60,MATCH(B349,Reaches!$B$7:$B$60,0)),-1))</f>
        <v>17</v>
      </c>
      <c r="C349" s="1" t="str">
        <f>IFERROR(INDEX(Reaches!$G$7:$G$60,MATCH(B349,Reaches!$B$7:$B$60,0)),"")</f>
        <v/>
      </c>
      <c r="D349" s="3">
        <v>2409</v>
      </c>
      <c r="E349">
        <v>10000</v>
      </c>
    </row>
    <row r="350" spans="1:5" x14ac:dyDescent="0.25">
      <c r="A350">
        <f>IF(ISBLANK(B350),A349,IFERROR(INDEX(Reaches!$A$7:$A$60,MATCH(B350,Reaches!$B$7:$B$60,0)),-1))</f>
        <v>17</v>
      </c>
      <c r="C350" s="1" t="str">
        <f>IFERROR(INDEX(Reaches!$G$7:$G$60,MATCH(B350,Reaches!$B$7:$B$60,0)),"")</f>
        <v/>
      </c>
      <c r="D350" s="3">
        <v>2800</v>
      </c>
      <c r="E350">
        <v>12000</v>
      </c>
    </row>
    <row r="351" spans="1:5" x14ac:dyDescent="0.25">
      <c r="A351">
        <f>IF(ISBLANK(B351),A350,IFERROR(INDEX(Reaches!$A$7:$A$60,MATCH(B351,Reaches!$B$7:$B$60,0)),-1))</f>
        <v>17</v>
      </c>
      <c r="C351" s="1" t="str">
        <f>IFERROR(INDEX(Reaches!$G$7:$G$60,MATCH(B351,Reaches!$B$7:$B$60,0)),"")</f>
        <v/>
      </c>
      <c r="D351" s="3">
        <v>3264</v>
      </c>
      <c r="E351">
        <v>14500</v>
      </c>
    </row>
    <row r="352" spans="1:5" x14ac:dyDescent="0.25">
      <c r="A352">
        <f>IF(ISBLANK(B352),A351,IFERROR(INDEX(Reaches!$A$7:$A$60,MATCH(B352,Reaches!$B$7:$B$60,0)),-1))</f>
        <v>17</v>
      </c>
      <c r="C352" s="1" t="str">
        <f>IFERROR(INDEX(Reaches!$G$7:$G$60,MATCH(B352,Reaches!$B$7:$B$60,0)),"")</f>
        <v/>
      </c>
      <c r="D352" s="3">
        <v>4247</v>
      </c>
      <c r="E352">
        <v>20000</v>
      </c>
    </row>
    <row r="353" spans="1:6" x14ac:dyDescent="0.25">
      <c r="A353">
        <f>IF(ISBLANK(B353),A352,IFERROR(INDEX(Reaches!$A$7:$A$60,MATCH(B353,Reaches!$B$7:$B$60,0)),-1))</f>
        <v>17</v>
      </c>
      <c r="C353" s="1" t="str">
        <f>IFERROR(INDEX(Reaches!$G$7:$G$60,MATCH(B353,Reaches!$B$7:$B$60,0)),"")</f>
        <v/>
      </c>
      <c r="D353" s="3">
        <v>5115</v>
      </c>
      <c r="E353">
        <v>25000</v>
      </c>
    </row>
    <row r="354" spans="1:6" x14ac:dyDescent="0.25">
      <c r="A354">
        <f>IF(ISBLANK(B354),A353,IFERROR(INDEX(Reaches!$A$7:$A$60,MATCH(B354,Reaches!$B$7:$B$60,0)),-1))</f>
        <v>17</v>
      </c>
      <c r="C354" s="1" t="str">
        <f>IFERROR(INDEX(Reaches!$G$7:$G$60,MATCH(B354,Reaches!$B$7:$B$60,0)),"")</f>
        <v/>
      </c>
      <c r="D354" s="3">
        <v>5916</v>
      </c>
      <c r="E354">
        <v>30000</v>
      </c>
    </row>
    <row r="355" spans="1:6" x14ac:dyDescent="0.25">
      <c r="A355">
        <f>IF(ISBLANK(B355),A354,IFERROR(INDEX(Reaches!$A$7:$A$60,MATCH(B355,Reaches!$B$7:$B$60,0)),-1))</f>
        <v>17</v>
      </c>
      <c r="C355" s="1" t="str">
        <f>IFERROR(INDEX(Reaches!$G$7:$G$60,MATCH(B355,Reaches!$B$7:$B$60,0)),"")</f>
        <v/>
      </c>
      <c r="D355" s="3">
        <v>6737</v>
      </c>
      <c r="E355">
        <v>35000</v>
      </c>
    </row>
    <row r="356" spans="1:6" x14ac:dyDescent="0.25">
      <c r="A356">
        <f>IF(ISBLANK(B356),A355,IFERROR(INDEX(Reaches!$A$7:$A$60,MATCH(B356,Reaches!$B$7:$B$60,0)),-1))</f>
        <v>17</v>
      </c>
      <c r="C356" s="1" t="str">
        <f>IFERROR(INDEX(Reaches!$G$7:$G$60,MATCH(B356,Reaches!$B$7:$B$60,0)),"")</f>
        <v/>
      </c>
      <c r="D356" s="3">
        <v>7505</v>
      </c>
      <c r="E356">
        <v>40000</v>
      </c>
    </row>
    <row r="357" spans="1:6" x14ac:dyDescent="0.25">
      <c r="A357">
        <f>IF(ISBLANK(B357),A356,IFERROR(INDEX(Reaches!$A$7:$A$60,MATCH(B357,Reaches!$B$7:$B$60,0)),-1))</f>
        <v>17</v>
      </c>
      <c r="C357" s="1" t="str">
        <f>IFERROR(INDEX(Reaches!$G$7:$G$60,MATCH(B357,Reaches!$B$7:$B$60,0)),"")</f>
        <v/>
      </c>
      <c r="D357" s="3">
        <v>8246</v>
      </c>
      <c r="E357">
        <v>45000</v>
      </c>
    </row>
    <row r="358" spans="1:6" x14ac:dyDescent="0.25">
      <c r="A358">
        <f>IF(ISBLANK(B358),A357,IFERROR(INDEX(Reaches!$A$7:$A$60,MATCH(B358,Reaches!$B$7:$B$60,0)),-1))</f>
        <v>17</v>
      </c>
      <c r="C358" s="1" t="str">
        <f>IFERROR(INDEX(Reaches!$G$7:$G$60,MATCH(B358,Reaches!$B$7:$B$60,0)),"")</f>
        <v/>
      </c>
      <c r="D358" s="3">
        <v>8972</v>
      </c>
      <c r="E358">
        <v>50000</v>
      </c>
    </row>
    <row r="359" spans="1:6" x14ac:dyDescent="0.25">
      <c r="A359">
        <f>IF(ISBLANK(B359),A358,IFERROR(INDEX(Reaches!$A$7:$A$60,MATCH(B359,Reaches!$B$7:$B$60,0)),-1))</f>
        <v>17</v>
      </c>
      <c r="C359" s="1" t="str">
        <f>IFERROR(INDEX(Reaches!$G$7:$G$60,MATCH(B359,Reaches!$B$7:$B$60,0)),"")</f>
        <v/>
      </c>
      <c r="D359" s="3">
        <v>10406</v>
      </c>
      <c r="E359">
        <v>60000</v>
      </c>
    </row>
    <row r="360" spans="1:6" x14ac:dyDescent="0.25">
      <c r="A360">
        <f>IF(ISBLANK(B360),A359,IFERROR(INDEX(Reaches!$A$7:$A$60,MATCH(B360,Reaches!$B$7:$B$60,0)),-1))</f>
        <v>17</v>
      </c>
      <c r="C360" s="1" t="str">
        <f>IFERROR(INDEX(Reaches!$G$7:$G$60,MATCH(B360,Reaches!$B$7:$B$60,0)),"")</f>
        <v/>
      </c>
      <c r="D360" s="3">
        <v>11032</v>
      </c>
      <c r="E360">
        <v>64400</v>
      </c>
    </row>
    <row r="361" spans="1:6" x14ac:dyDescent="0.25">
      <c r="A361">
        <f>IF(ISBLANK(B361),A360,IFERROR(INDEX(Reaches!$A$7:$A$60,MATCH(B361,Reaches!$B$7:$B$60,0)),-1))</f>
        <v>17</v>
      </c>
      <c r="C361" s="1" t="str">
        <f>IFERROR(INDEX(Reaches!$G$7:$G$60,MATCH(B361,Reaches!$B$7:$B$60,0)),"")</f>
        <v/>
      </c>
      <c r="D361" s="3">
        <v>11823</v>
      </c>
      <c r="E361">
        <v>70000</v>
      </c>
    </row>
    <row r="362" spans="1:6" x14ac:dyDescent="0.25">
      <c r="A362">
        <f>IF(ISBLANK(B362),A361,IFERROR(INDEX(Reaches!$A$7:$A$60,MATCH(B362,Reaches!$B$7:$B$60,0)),-1))</f>
        <v>17</v>
      </c>
      <c r="C362" s="1" t="str">
        <f>IFERROR(INDEX(Reaches!$G$7:$G$60,MATCH(B362,Reaches!$B$7:$B$60,0)),"")</f>
        <v/>
      </c>
      <c r="D362" s="3">
        <v>132900</v>
      </c>
      <c r="E362">
        <v>1200000</v>
      </c>
    </row>
    <row r="363" spans="1:6" x14ac:dyDescent="0.25">
      <c r="A363">
        <f>IF(ISBLANK(B363),A362,IFERROR(INDEX(Reaches!$A$7:$A$60,MATCH(B363,Reaches!$B$7:$B$60,0)),-1))</f>
        <v>18</v>
      </c>
      <c r="B363" t="s">
        <v>96</v>
      </c>
      <c r="C363" s="1">
        <f>IFERROR(INDEX(Reaches!$G$7:$G$60,MATCH(B363,Reaches!$B$7:$B$60,0)),"")</f>
        <v>5</v>
      </c>
      <c r="D363" s="3">
        <v>0</v>
      </c>
      <c r="E363">
        <v>0</v>
      </c>
      <c r="F363" t="s">
        <v>228</v>
      </c>
    </row>
    <row r="364" spans="1:6" x14ac:dyDescent="0.25">
      <c r="A364">
        <f>IF(ISBLANK(B364),A363,IFERROR(INDEX(Reaches!$A$7:$A$60,MATCH(B364,Reaches!$B$7:$B$60,0)),-1))</f>
        <v>18</v>
      </c>
      <c r="C364" s="1" t="str">
        <f>IFERROR(INDEX(Reaches!$G$7:$G$60,MATCH(B364,Reaches!$B$7:$B$60,0)),"")</f>
        <v/>
      </c>
      <c r="D364" s="3">
        <v>1152.9999999999998</v>
      </c>
      <c r="E364">
        <v>1000</v>
      </c>
    </row>
    <row r="365" spans="1:6" x14ac:dyDescent="0.25">
      <c r="A365">
        <f>IF(ISBLANK(B365),A364,IFERROR(INDEX(Reaches!$A$7:$A$60,MATCH(B365,Reaches!$B$7:$B$60,0)),-1))</f>
        <v>18</v>
      </c>
      <c r="C365" s="1" t="str">
        <f>IFERROR(INDEX(Reaches!$G$7:$G$60,MATCH(B365,Reaches!$B$7:$B$60,0)),"")</f>
        <v/>
      </c>
      <c r="D365" s="3">
        <v>1476.9999999999995</v>
      </c>
      <c r="E365">
        <v>2000</v>
      </c>
    </row>
    <row r="366" spans="1:6" x14ac:dyDescent="0.25">
      <c r="A366">
        <f>IF(ISBLANK(B366),A365,IFERROR(INDEX(Reaches!$A$7:$A$60,MATCH(B366,Reaches!$B$7:$B$60,0)),-1))</f>
        <v>18</v>
      </c>
      <c r="C366" s="1" t="str">
        <f>IFERROR(INDEX(Reaches!$G$7:$G$60,MATCH(B366,Reaches!$B$7:$B$60,0)),"")</f>
        <v/>
      </c>
      <c r="D366" s="3">
        <v>2356</v>
      </c>
      <c r="E366">
        <v>4000</v>
      </c>
    </row>
    <row r="367" spans="1:6" x14ac:dyDescent="0.25">
      <c r="A367">
        <f>IF(ISBLANK(B367),A366,IFERROR(INDEX(Reaches!$A$7:$A$60,MATCH(B367,Reaches!$B$7:$B$60,0)),-1))</f>
        <v>18</v>
      </c>
      <c r="C367" s="1" t="str">
        <f>IFERROR(INDEX(Reaches!$G$7:$G$60,MATCH(B367,Reaches!$B$7:$B$60,0)),"")</f>
        <v/>
      </c>
      <c r="D367" s="3">
        <v>3319.9999999999995</v>
      </c>
      <c r="E367">
        <v>6000</v>
      </c>
    </row>
    <row r="368" spans="1:6" x14ac:dyDescent="0.25">
      <c r="A368">
        <f>IF(ISBLANK(B368),A367,IFERROR(INDEX(Reaches!$A$7:$A$60,MATCH(B368,Reaches!$B$7:$B$60,0)),-1))</f>
        <v>18</v>
      </c>
      <c r="C368" s="1" t="str">
        <f>IFERROR(INDEX(Reaches!$G$7:$G$60,MATCH(B368,Reaches!$B$7:$B$60,0)),"")</f>
        <v/>
      </c>
      <c r="D368" s="3">
        <v>4285.9999999999991</v>
      </c>
      <c r="E368">
        <v>8000</v>
      </c>
    </row>
    <row r="369" spans="1:5" x14ac:dyDescent="0.25">
      <c r="A369">
        <f>IF(ISBLANK(B369),A368,IFERROR(INDEX(Reaches!$A$7:$A$60,MATCH(B369,Reaches!$B$7:$B$60,0)),-1))</f>
        <v>18</v>
      </c>
      <c r="C369" s="1" t="str">
        <f>IFERROR(INDEX(Reaches!$G$7:$G$60,MATCH(B369,Reaches!$B$7:$B$60,0)),"")</f>
        <v/>
      </c>
      <c r="D369" s="3">
        <v>5176</v>
      </c>
      <c r="E369">
        <v>10000</v>
      </c>
    </row>
    <row r="370" spans="1:5" x14ac:dyDescent="0.25">
      <c r="A370">
        <f>IF(ISBLANK(B370),A369,IFERROR(INDEX(Reaches!$A$7:$A$60,MATCH(B370,Reaches!$B$7:$B$60,0)),-1))</f>
        <v>18</v>
      </c>
      <c r="C370" s="1" t="str">
        <f>IFERROR(INDEX(Reaches!$G$7:$G$60,MATCH(B370,Reaches!$B$7:$B$60,0)),"")</f>
        <v/>
      </c>
      <c r="D370" s="3">
        <v>6025</v>
      </c>
      <c r="E370">
        <v>12000</v>
      </c>
    </row>
    <row r="371" spans="1:5" x14ac:dyDescent="0.25">
      <c r="A371">
        <f>IF(ISBLANK(B371),A370,IFERROR(INDEX(Reaches!$A$7:$A$60,MATCH(B371,Reaches!$B$7:$B$60,0)),-1))</f>
        <v>18</v>
      </c>
      <c r="C371" s="1" t="str">
        <f>IFERROR(INDEX(Reaches!$G$7:$G$60,MATCH(B371,Reaches!$B$7:$B$60,0)),"")</f>
        <v/>
      </c>
      <c r="D371" s="3">
        <v>6852</v>
      </c>
      <c r="E371">
        <v>14000</v>
      </c>
    </row>
    <row r="372" spans="1:5" x14ac:dyDescent="0.25">
      <c r="A372">
        <f>IF(ISBLANK(B372),A371,IFERROR(INDEX(Reaches!$A$7:$A$60,MATCH(B372,Reaches!$B$7:$B$60,0)),-1))</f>
        <v>18</v>
      </c>
      <c r="C372" s="1" t="str">
        <f>IFERROR(INDEX(Reaches!$G$7:$G$60,MATCH(B372,Reaches!$B$7:$B$60,0)),"")</f>
        <v/>
      </c>
      <c r="D372" s="3">
        <v>7951</v>
      </c>
      <c r="E372">
        <v>15500</v>
      </c>
    </row>
    <row r="373" spans="1:5" x14ac:dyDescent="0.25">
      <c r="A373">
        <f>IF(ISBLANK(B373),A372,IFERROR(INDEX(Reaches!$A$7:$A$60,MATCH(B373,Reaches!$B$7:$B$60,0)),-1))</f>
        <v>18</v>
      </c>
      <c r="C373" s="1" t="str">
        <f>IFERROR(INDEX(Reaches!$G$7:$G$60,MATCH(B373,Reaches!$B$7:$B$60,0)),"")</f>
        <v/>
      </c>
      <c r="D373" s="3">
        <v>9374</v>
      </c>
      <c r="E373">
        <v>17500</v>
      </c>
    </row>
    <row r="374" spans="1:5" x14ac:dyDescent="0.25">
      <c r="A374">
        <f>IF(ISBLANK(B374),A373,IFERROR(INDEX(Reaches!$A$7:$A$60,MATCH(B374,Reaches!$B$7:$B$60,0)),-1))</f>
        <v>18</v>
      </c>
      <c r="C374" s="1" t="str">
        <f>IFERROR(INDEX(Reaches!$G$7:$G$60,MATCH(B374,Reaches!$B$7:$B$60,0)),"")</f>
        <v/>
      </c>
      <c r="D374" s="3">
        <v>10652</v>
      </c>
      <c r="E374">
        <v>20000</v>
      </c>
    </row>
    <row r="375" spans="1:5" x14ac:dyDescent="0.25">
      <c r="A375">
        <f>IF(ISBLANK(B375),A374,IFERROR(INDEX(Reaches!$A$7:$A$60,MATCH(B375,Reaches!$B$7:$B$60,0)),-1))</f>
        <v>18</v>
      </c>
      <c r="C375" s="1" t="str">
        <f>IFERROR(INDEX(Reaches!$G$7:$G$60,MATCH(B375,Reaches!$B$7:$B$60,0)),"")</f>
        <v/>
      </c>
      <c r="D375" s="3">
        <v>12512.999999999998</v>
      </c>
      <c r="E375">
        <v>25000</v>
      </c>
    </row>
    <row r="376" spans="1:5" x14ac:dyDescent="0.25">
      <c r="A376">
        <f>IF(ISBLANK(B376),A375,IFERROR(INDEX(Reaches!$A$7:$A$60,MATCH(B376,Reaches!$B$7:$B$60,0)),-1))</f>
        <v>18</v>
      </c>
      <c r="C376" s="1" t="str">
        <f>IFERROR(INDEX(Reaches!$G$7:$G$60,MATCH(B376,Reaches!$B$7:$B$60,0)),"")</f>
        <v/>
      </c>
      <c r="D376" s="3">
        <v>14406.000000000002</v>
      </c>
      <c r="E376">
        <v>30000</v>
      </c>
    </row>
    <row r="377" spans="1:5" x14ac:dyDescent="0.25">
      <c r="A377">
        <f>IF(ISBLANK(B377),A376,IFERROR(INDEX(Reaches!$A$7:$A$60,MATCH(B377,Reaches!$B$7:$B$60,0)),-1))</f>
        <v>18</v>
      </c>
      <c r="C377" s="1" t="str">
        <f>IFERROR(INDEX(Reaches!$G$7:$G$60,MATCH(B377,Reaches!$B$7:$B$60,0)),"")</f>
        <v/>
      </c>
      <c r="D377" s="3">
        <v>16264</v>
      </c>
      <c r="E377">
        <v>35000</v>
      </c>
    </row>
    <row r="378" spans="1:5" x14ac:dyDescent="0.25">
      <c r="A378">
        <f>IF(ISBLANK(B378),A377,IFERROR(INDEX(Reaches!$A$7:$A$60,MATCH(B378,Reaches!$B$7:$B$60,0)),-1))</f>
        <v>18</v>
      </c>
      <c r="C378" s="1" t="str">
        <f>IFERROR(INDEX(Reaches!$G$7:$G$60,MATCH(B378,Reaches!$B$7:$B$60,0)),"")</f>
        <v/>
      </c>
      <c r="D378" s="3">
        <v>18097</v>
      </c>
      <c r="E378">
        <v>40000</v>
      </c>
    </row>
    <row r="379" spans="1:5" x14ac:dyDescent="0.25">
      <c r="A379">
        <f>IF(ISBLANK(B379),A378,IFERROR(INDEX(Reaches!$A$7:$A$60,MATCH(B379,Reaches!$B$7:$B$60,0)),-1))</f>
        <v>18</v>
      </c>
      <c r="C379" s="1" t="str">
        <f>IFERROR(INDEX(Reaches!$G$7:$G$60,MATCH(B379,Reaches!$B$7:$B$60,0)),"")</f>
        <v/>
      </c>
      <c r="D379" s="3">
        <v>20138.666666666664</v>
      </c>
      <c r="E379">
        <v>45000</v>
      </c>
    </row>
    <row r="380" spans="1:5" x14ac:dyDescent="0.25">
      <c r="A380">
        <f>IF(ISBLANK(B380),A379,IFERROR(INDEX(Reaches!$A$7:$A$60,MATCH(B380,Reaches!$B$7:$B$60,0)),-1))</f>
        <v>18</v>
      </c>
      <c r="C380" s="1" t="str">
        <f>IFERROR(INDEX(Reaches!$G$7:$G$60,MATCH(B380,Reaches!$B$7:$B$60,0)),"")</f>
        <v/>
      </c>
      <c r="D380" s="3">
        <v>22180.333333333336</v>
      </c>
      <c r="E380">
        <v>50000</v>
      </c>
    </row>
    <row r="381" spans="1:5" x14ac:dyDescent="0.25">
      <c r="A381">
        <f>IF(ISBLANK(B381),A380,IFERROR(INDEX(Reaches!$A$7:$A$60,MATCH(B381,Reaches!$B$7:$B$60,0)),-1))</f>
        <v>18</v>
      </c>
      <c r="C381" s="1" t="str">
        <f>IFERROR(INDEX(Reaches!$G$7:$G$60,MATCH(B381,Reaches!$B$7:$B$60,0)),"")</f>
        <v/>
      </c>
      <c r="D381" s="3">
        <v>24671.166666666668</v>
      </c>
      <c r="E381">
        <v>56100</v>
      </c>
    </row>
    <row r="382" spans="1:5" x14ac:dyDescent="0.25">
      <c r="A382">
        <f>IF(ISBLANK(B382),A381,IFERROR(INDEX(Reaches!$A$7:$A$60,MATCH(B382,Reaches!$B$7:$B$60,0)),-1))</f>
        <v>18</v>
      </c>
      <c r="C382" s="1" t="str">
        <f>IFERROR(INDEX(Reaches!$G$7:$G$60,MATCH(B382,Reaches!$B$7:$B$60,0)),"")</f>
        <v/>
      </c>
      <c r="D382" s="3">
        <v>26265.166666666664</v>
      </c>
      <c r="E382">
        <v>60000</v>
      </c>
    </row>
    <row r="383" spans="1:5" x14ac:dyDescent="0.25">
      <c r="A383">
        <f>IF(ISBLANK(B383),A382,IFERROR(INDEX(Reaches!$A$7:$A$60,MATCH(B383,Reaches!$B$7:$B$60,0)),-1))</f>
        <v>18</v>
      </c>
      <c r="C383" s="1" t="str">
        <f>IFERROR(INDEX(Reaches!$G$7:$G$60,MATCH(B383,Reaches!$B$7:$B$60,0)),"")</f>
        <v/>
      </c>
      <c r="D383" s="3">
        <v>239029.16666666666</v>
      </c>
      <c r="E383">
        <v>500000</v>
      </c>
    </row>
    <row r="384" spans="1:5" x14ac:dyDescent="0.25">
      <c r="A384">
        <f>IF(ISBLANK(B384),A383,IFERROR(INDEX(Reaches!$A$7:$A$60,MATCH(B384,Reaches!$B$7:$B$60,0)),-1))</f>
        <v>18</v>
      </c>
      <c r="C384" s="1"/>
      <c r="D384">
        <f>ROUND(D383+(E384-E383)*(D383-D382)/(E383-E382),0)</f>
        <v>480806</v>
      </c>
      <c r="E384">
        <v>999999</v>
      </c>
    </row>
    <row r="385" spans="1:6" x14ac:dyDescent="0.25">
      <c r="A385">
        <f>IF(ISBLANK(B385),A383,IFERROR(INDEX(Reaches!$A$7:$A$60,MATCH(B385,Reaches!$B$7:$B$60,0)),-1))</f>
        <v>19</v>
      </c>
      <c r="B385" t="s">
        <v>6</v>
      </c>
      <c r="C385" s="1">
        <f>IFERROR(INDEX(Reaches!$G$7:$G$60,MATCH(B385,Reaches!$B$7:$B$60,0)),"")</f>
        <v>8</v>
      </c>
      <c r="D385" s="3">
        <v>0</v>
      </c>
      <c r="E385">
        <v>0</v>
      </c>
      <c r="F385" t="s">
        <v>228</v>
      </c>
    </row>
    <row r="386" spans="1:6" x14ac:dyDescent="0.25">
      <c r="A386">
        <f>IF(ISBLANK(B386),A385,IFERROR(INDEX(Reaches!$A$7:$A$60,MATCH(B386,Reaches!$B$7:$B$60,0)),-1))</f>
        <v>19</v>
      </c>
      <c r="C386" s="1" t="str">
        <f>IFERROR(INDEX(Reaches!$G$7:$G$60,MATCH(B386,Reaches!$B$7:$B$60,0)),"")</f>
        <v/>
      </c>
      <c r="D386" s="3">
        <v>1293</v>
      </c>
      <c r="E386">
        <v>1250</v>
      </c>
    </row>
    <row r="387" spans="1:6" x14ac:dyDescent="0.25">
      <c r="A387">
        <f>IF(ISBLANK(B387),A386,IFERROR(INDEX(Reaches!$A$7:$A$60,MATCH(B387,Reaches!$B$7:$B$60,0)),-1))</f>
        <v>19</v>
      </c>
      <c r="C387" s="1" t="str">
        <f>IFERROR(INDEX(Reaches!$G$7:$G$60,MATCH(B387,Reaches!$B$7:$B$60,0)),"")</f>
        <v/>
      </c>
      <c r="D387" s="3">
        <v>2056</v>
      </c>
      <c r="E387">
        <v>2000</v>
      </c>
    </row>
    <row r="388" spans="1:6" x14ac:dyDescent="0.25">
      <c r="A388">
        <f>IF(ISBLANK(B388),A387,IFERROR(INDEX(Reaches!$A$7:$A$60,MATCH(B388,Reaches!$B$7:$B$60,0)),-1))</f>
        <v>19</v>
      </c>
      <c r="C388" s="1" t="str">
        <f>IFERROR(INDEX(Reaches!$G$7:$G$60,MATCH(B388,Reaches!$B$7:$B$60,0)),"")</f>
        <v/>
      </c>
      <c r="D388" s="3">
        <v>3559.0000000000005</v>
      </c>
      <c r="E388">
        <v>4000</v>
      </c>
    </row>
    <row r="389" spans="1:6" x14ac:dyDescent="0.25">
      <c r="A389">
        <f>IF(ISBLANK(B389),A388,IFERROR(INDEX(Reaches!$A$7:$A$60,MATCH(B389,Reaches!$B$7:$B$60,0)),-1))</f>
        <v>19</v>
      </c>
      <c r="C389" s="1" t="str">
        <f>IFERROR(INDEX(Reaches!$G$7:$G$60,MATCH(B389,Reaches!$B$7:$B$60,0)),"")</f>
        <v/>
      </c>
      <c r="D389" s="3">
        <v>4865</v>
      </c>
      <c r="E389">
        <v>6000</v>
      </c>
    </row>
    <row r="390" spans="1:6" x14ac:dyDescent="0.25">
      <c r="A390">
        <f>IF(ISBLANK(B390),A389,IFERROR(INDEX(Reaches!$A$7:$A$60,MATCH(B390,Reaches!$B$7:$B$60,0)),-1))</f>
        <v>19</v>
      </c>
      <c r="C390" s="1" t="str">
        <f>IFERROR(INDEX(Reaches!$G$7:$G$60,MATCH(B390,Reaches!$B$7:$B$60,0)),"")</f>
        <v/>
      </c>
      <c r="D390" s="3">
        <v>6144</v>
      </c>
      <c r="E390">
        <v>8000</v>
      </c>
    </row>
    <row r="391" spans="1:6" x14ac:dyDescent="0.25">
      <c r="A391">
        <f>IF(ISBLANK(B391),A390,IFERROR(INDEX(Reaches!$A$7:$A$60,MATCH(B391,Reaches!$B$7:$B$60,0)),-1))</f>
        <v>19</v>
      </c>
      <c r="C391" s="1" t="str">
        <f>IFERROR(INDEX(Reaches!$G$7:$G$60,MATCH(B391,Reaches!$B$7:$B$60,0)),"")</f>
        <v/>
      </c>
      <c r="D391" s="3">
        <v>7372</v>
      </c>
      <c r="E391">
        <v>10000</v>
      </c>
    </row>
    <row r="392" spans="1:6" x14ac:dyDescent="0.25">
      <c r="A392">
        <f>IF(ISBLANK(B392),A391,IFERROR(INDEX(Reaches!$A$7:$A$60,MATCH(B392,Reaches!$B$7:$B$60,0)),-1))</f>
        <v>19</v>
      </c>
      <c r="C392" s="1" t="str">
        <f>IFERROR(INDEX(Reaches!$G$7:$G$60,MATCH(B392,Reaches!$B$7:$B$60,0)),"")</f>
        <v/>
      </c>
      <c r="D392" s="3">
        <v>8608</v>
      </c>
      <c r="E392">
        <v>12000</v>
      </c>
    </row>
    <row r="393" spans="1:6" x14ac:dyDescent="0.25">
      <c r="A393">
        <f>IF(ISBLANK(B393),A392,IFERROR(INDEX(Reaches!$A$7:$A$60,MATCH(B393,Reaches!$B$7:$B$60,0)),-1))</f>
        <v>19</v>
      </c>
      <c r="C393" s="1" t="str">
        <f>IFERROR(INDEX(Reaches!$G$7:$G$60,MATCH(B393,Reaches!$B$7:$B$60,0)),"")</f>
        <v/>
      </c>
      <c r="D393" s="3">
        <v>9859</v>
      </c>
      <c r="E393">
        <v>14000</v>
      </c>
    </row>
    <row r="394" spans="1:6" x14ac:dyDescent="0.25">
      <c r="A394">
        <f>IF(ISBLANK(B394),A393,IFERROR(INDEX(Reaches!$A$7:$A$60,MATCH(B394,Reaches!$B$7:$B$60,0)),-1))</f>
        <v>19</v>
      </c>
      <c r="C394" s="1" t="str">
        <f>IFERROR(INDEX(Reaches!$G$7:$G$60,MATCH(B394,Reaches!$B$7:$B$60,0)),"")</f>
        <v/>
      </c>
      <c r="D394" s="3">
        <v>10894</v>
      </c>
      <c r="E394">
        <v>16000</v>
      </c>
    </row>
    <row r="395" spans="1:6" x14ac:dyDescent="0.25">
      <c r="A395">
        <f>IF(ISBLANK(B395),A394,IFERROR(INDEX(Reaches!$A$7:$A$60,MATCH(B395,Reaches!$B$7:$B$60,0)),-1))</f>
        <v>19</v>
      </c>
      <c r="C395" s="1" t="str">
        <f>IFERROR(INDEX(Reaches!$G$7:$G$60,MATCH(B395,Reaches!$B$7:$B$60,0)),"")</f>
        <v/>
      </c>
      <c r="D395" s="3">
        <v>12431.5</v>
      </c>
      <c r="E395">
        <v>19000</v>
      </c>
    </row>
    <row r="396" spans="1:6" x14ac:dyDescent="0.25">
      <c r="A396">
        <f>IF(ISBLANK(B396),A395,IFERROR(INDEX(Reaches!$A$7:$A$60,MATCH(B396,Reaches!$B$7:$B$60,0)),-1))</f>
        <v>19</v>
      </c>
      <c r="C396" s="1" t="str">
        <f>IFERROR(INDEX(Reaches!$G$7:$G$60,MATCH(B396,Reaches!$B$7:$B$60,0)),"")</f>
        <v/>
      </c>
      <c r="D396" s="3">
        <v>14108.499999999998</v>
      </c>
      <c r="E396">
        <v>22000</v>
      </c>
    </row>
    <row r="397" spans="1:6" x14ac:dyDescent="0.25">
      <c r="A397">
        <f>IF(ISBLANK(B397),A396,IFERROR(INDEX(Reaches!$A$7:$A$60,MATCH(B397,Reaches!$B$7:$B$60,0)),-1))</f>
        <v>19</v>
      </c>
      <c r="C397" s="1" t="str">
        <f>IFERROR(INDEX(Reaches!$G$7:$G$60,MATCH(B397,Reaches!$B$7:$B$60,0)),"")</f>
        <v/>
      </c>
      <c r="D397" s="3">
        <v>15865.642857142855</v>
      </c>
      <c r="E397">
        <v>25000</v>
      </c>
    </row>
    <row r="398" spans="1:6" x14ac:dyDescent="0.25">
      <c r="A398">
        <f>IF(ISBLANK(B398),A397,IFERROR(INDEX(Reaches!$A$7:$A$60,MATCH(B398,Reaches!$B$7:$B$60,0)),-1))</f>
        <v>19</v>
      </c>
      <c r="C398" s="1" t="str">
        <f>IFERROR(INDEX(Reaches!$G$7:$G$60,MATCH(B398,Reaches!$B$7:$B$60,0)),"")</f>
        <v/>
      </c>
      <c r="D398" s="3">
        <v>17622.78571428571</v>
      </c>
      <c r="E398">
        <v>28000</v>
      </c>
    </row>
    <row r="399" spans="1:6" x14ac:dyDescent="0.25">
      <c r="A399">
        <f>IF(ISBLANK(B399),A398,IFERROR(INDEX(Reaches!$A$7:$A$60,MATCH(B399,Reaches!$B$7:$B$60,0)),-1))</f>
        <v>19</v>
      </c>
      <c r="C399" s="1" t="str">
        <f>IFERROR(INDEX(Reaches!$G$7:$G$60,MATCH(B399,Reaches!$B$7:$B$60,0)),"")</f>
        <v/>
      </c>
      <c r="D399" s="3">
        <v>19379.928571428565</v>
      </c>
      <c r="E399">
        <v>31000</v>
      </c>
    </row>
    <row r="400" spans="1:6" x14ac:dyDescent="0.25">
      <c r="A400">
        <f>IF(ISBLANK(B400),A399,IFERROR(INDEX(Reaches!$A$7:$A$60,MATCH(B400,Reaches!$B$7:$B$60,0)),-1))</f>
        <v>19</v>
      </c>
      <c r="C400" s="1" t="str">
        <f>IFERROR(INDEX(Reaches!$G$7:$G$60,MATCH(B400,Reaches!$B$7:$B$60,0)),"")</f>
        <v/>
      </c>
      <c r="D400" s="3">
        <v>21137.071428571424</v>
      </c>
      <c r="E400">
        <v>34000</v>
      </c>
    </row>
    <row r="401" spans="1:6" x14ac:dyDescent="0.25">
      <c r="A401">
        <f>IF(ISBLANK(B401),A400,IFERROR(INDEX(Reaches!$A$7:$A$60,MATCH(B401,Reaches!$B$7:$B$60,0)),-1))</f>
        <v>19</v>
      </c>
      <c r="C401" s="1" t="str">
        <f>IFERROR(INDEX(Reaches!$G$7:$G$60,MATCH(B401,Reaches!$B$7:$B$60,0)),"")</f>
        <v/>
      </c>
      <c r="D401" s="3">
        <v>22894.214285714283</v>
      </c>
      <c r="E401">
        <v>37000</v>
      </c>
    </row>
    <row r="402" spans="1:6" x14ac:dyDescent="0.25">
      <c r="A402">
        <f>IF(ISBLANK(B402),A401,IFERROR(INDEX(Reaches!$A$7:$A$60,MATCH(B402,Reaches!$B$7:$B$60,0)),-1))</f>
        <v>19</v>
      </c>
      <c r="C402" s="1" t="str">
        <f>IFERROR(INDEX(Reaches!$G$7:$G$60,MATCH(B402,Reaches!$B$7:$B$60,0)),"")</f>
        <v/>
      </c>
      <c r="D402" s="3">
        <v>24643.214285714283</v>
      </c>
      <c r="E402">
        <v>40000</v>
      </c>
    </row>
    <row r="403" spans="1:6" x14ac:dyDescent="0.25">
      <c r="A403">
        <f>IF(ISBLANK(B403),A402,IFERROR(INDEX(Reaches!$A$7:$A$60,MATCH(B403,Reaches!$B$7:$B$60,0)),-1))</f>
        <v>19</v>
      </c>
      <c r="C403" s="1" t="str">
        <f>IFERROR(INDEX(Reaches!$G$7:$G$60,MATCH(B403,Reaches!$B$7:$B$60,0)),"")</f>
        <v/>
      </c>
      <c r="D403" s="3">
        <v>29932.214285714283</v>
      </c>
      <c r="E403">
        <v>47500</v>
      </c>
    </row>
    <row r="404" spans="1:6" x14ac:dyDescent="0.25">
      <c r="A404">
        <f>IF(ISBLANK(B404),A403,IFERROR(INDEX(Reaches!$A$7:$A$60,MATCH(B404,Reaches!$B$7:$B$60,0)),-1))</f>
        <v>19</v>
      </c>
      <c r="C404" s="1" t="str">
        <f>IFERROR(INDEX(Reaches!$G$7:$G$60,MATCH(B404,Reaches!$B$7:$B$60,0)),"")</f>
        <v/>
      </c>
      <c r="D404" s="3">
        <v>31982.214285714283</v>
      </c>
      <c r="E404">
        <v>50000</v>
      </c>
    </row>
    <row r="405" spans="1:6" x14ac:dyDescent="0.25">
      <c r="A405">
        <f>IF(ISBLANK(B405),A404,IFERROR(INDEX(Reaches!$A$7:$A$60,MATCH(B405,Reaches!$B$7:$B$60,0)),-1))</f>
        <v>19</v>
      </c>
      <c r="C405" s="1" t="str">
        <f>IFERROR(INDEX(Reaches!$G$7:$G$60,MATCH(B405,Reaches!$B$7:$B$60,0)),"")</f>
        <v/>
      </c>
      <c r="D405" s="3">
        <v>128742.21428571429</v>
      </c>
      <c r="E405">
        <v>168000</v>
      </c>
    </row>
    <row r="406" spans="1:6" x14ac:dyDescent="0.25">
      <c r="A406">
        <f>IF(ISBLANK(B406),A405,IFERROR(INDEX(Reaches!$A$7:$A$60,MATCH(B406,Reaches!$B$7:$B$60,0)),-1))</f>
        <v>19</v>
      </c>
      <c r="C406" s="1" t="str">
        <f>IFERROR(INDEX(Reaches!$G$7:$G$60,MATCH(B406,Reaches!$B$7:$B$60,0)),"")</f>
        <v/>
      </c>
      <c r="D406" s="3">
        <v>400982.21428571432</v>
      </c>
      <c r="E406">
        <v>500000</v>
      </c>
    </row>
    <row r="407" spans="1:6" x14ac:dyDescent="0.25">
      <c r="A407">
        <f>IF(ISBLANK(B407),A406,IFERROR(INDEX(Reaches!$A$7:$A$60,MATCH(B407,Reaches!$B$7:$B$60,0)),-1))</f>
        <v>19</v>
      </c>
      <c r="C407" s="1"/>
      <c r="D407">
        <f>ROUND(D406+(E407-E406)*(D406-D405)/(E406-E405),0)</f>
        <v>810981</v>
      </c>
      <c r="E407">
        <v>999999</v>
      </c>
    </row>
    <row r="408" spans="1:6" x14ac:dyDescent="0.25">
      <c r="A408">
        <f>IF(ISBLANK(B408),A406,IFERROR(INDEX(Reaches!$A$7:$A$60,MATCH(B408,Reaches!$B$7:$B$60,0)),-1))</f>
        <v>20</v>
      </c>
      <c r="B408" t="s">
        <v>9</v>
      </c>
      <c r="C408" s="1">
        <f>IFERROR(INDEX(Reaches!$G$7:$G$60,MATCH(B408,Reaches!$B$7:$B$60,0)),"")</f>
        <v>1</v>
      </c>
      <c r="D408" s="3">
        <v>0</v>
      </c>
      <c r="E408">
        <v>0</v>
      </c>
      <c r="F408" t="s">
        <v>228</v>
      </c>
    </row>
    <row r="409" spans="1:6" x14ac:dyDescent="0.25">
      <c r="A409">
        <f>IF(ISBLANK(B409),A408,IFERROR(INDEX(Reaches!$A$7:$A$60,MATCH(B409,Reaches!$B$7:$B$60,0)),-1))</f>
        <v>20</v>
      </c>
      <c r="C409" s="1" t="str">
        <f>IFERROR(INDEX(Reaches!$G$7:$G$60,MATCH(B409,Reaches!$B$7:$B$60,0)),"")</f>
        <v/>
      </c>
      <c r="D409" s="3">
        <v>249.0829268292683</v>
      </c>
      <c r="E409">
        <v>1500</v>
      </c>
    </row>
    <row r="410" spans="1:6" x14ac:dyDescent="0.25">
      <c r="A410">
        <f>IF(ISBLANK(B410),A409,IFERROR(INDEX(Reaches!$A$7:$A$60,MATCH(B410,Reaches!$B$7:$B$60,0)),-1))</f>
        <v>20</v>
      </c>
      <c r="C410" s="1" t="str">
        <f>IFERROR(INDEX(Reaches!$G$7:$G$60,MATCH(B410,Reaches!$B$7:$B$60,0)),"")</f>
        <v/>
      </c>
      <c r="D410" s="3">
        <v>330.96585365853656</v>
      </c>
      <c r="E410">
        <v>2000</v>
      </c>
    </row>
    <row r="411" spans="1:6" x14ac:dyDescent="0.25">
      <c r="A411">
        <f>IF(ISBLANK(B411),A410,IFERROR(INDEX(Reaches!$A$7:$A$60,MATCH(B411,Reaches!$B$7:$B$60,0)),-1))</f>
        <v>20</v>
      </c>
      <c r="C411" s="1" t="str">
        <f>IFERROR(INDEX(Reaches!$G$7:$G$60,MATCH(B411,Reaches!$B$7:$B$60,0)),"")</f>
        <v/>
      </c>
      <c r="D411" s="3">
        <v>572.91219512195119</v>
      </c>
      <c r="E411">
        <v>4000</v>
      </c>
    </row>
    <row r="412" spans="1:6" x14ac:dyDescent="0.25">
      <c r="A412">
        <f>IF(ISBLANK(B412),A411,IFERROR(INDEX(Reaches!$A$7:$A$60,MATCH(B412,Reaches!$B$7:$B$60,0)),-1))</f>
        <v>20</v>
      </c>
      <c r="C412" s="1" t="str">
        <f>IFERROR(INDEX(Reaches!$G$7:$G$60,MATCH(B412,Reaches!$B$7:$B$60,0)),"")</f>
        <v/>
      </c>
      <c r="D412" s="3">
        <v>783.14634146341461</v>
      </c>
      <c r="E412">
        <v>6000</v>
      </c>
    </row>
    <row r="413" spans="1:6" x14ac:dyDescent="0.25">
      <c r="A413">
        <f>IF(ISBLANK(B413),A412,IFERROR(INDEX(Reaches!$A$7:$A$60,MATCH(B413,Reaches!$B$7:$B$60,0)),-1))</f>
        <v>20</v>
      </c>
      <c r="C413" s="1" t="str">
        <f>IFERROR(INDEX(Reaches!$G$7:$G$60,MATCH(B413,Reaches!$B$7:$B$60,0)),"")</f>
        <v/>
      </c>
      <c r="D413" s="3">
        <v>989.03414634146327</v>
      </c>
      <c r="E413">
        <v>8000</v>
      </c>
    </row>
    <row r="414" spans="1:6" x14ac:dyDescent="0.25">
      <c r="A414">
        <f>IF(ISBLANK(B414),A413,IFERROR(INDEX(Reaches!$A$7:$A$60,MATCH(B414,Reaches!$B$7:$B$60,0)),-1))</f>
        <v>20</v>
      </c>
      <c r="C414" s="1" t="str">
        <f>IFERROR(INDEX(Reaches!$G$7:$G$60,MATCH(B414,Reaches!$B$7:$B$60,0)),"")</f>
        <v/>
      </c>
      <c r="D414" s="3">
        <v>1186.7121951219513</v>
      </c>
      <c r="E414">
        <v>10000</v>
      </c>
    </row>
    <row r="415" spans="1:6" x14ac:dyDescent="0.25">
      <c r="A415">
        <f>IF(ISBLANK(B415),A414,IFERROR(INDEX(Reaches!$A$7:$A$60,MATCH(B415,Reaches!$B$7:$B$60,0)),-1))</f>
        <v>20</v>
      </c>
      <c r="C415" s="1" t="str">
        <f>IFERROR(INDEX(Reaches!$G$7:$G$60,MATCH(B415,Reaches!$B$7:$B$60,0)),"")</f>
        <v/>
      </c>
      <c r="D415" s="3">
        <v>1436.0231707317071</v>
      </c>
      <c r="E415">
        <v>12500</v>
      </c>
    </row>
    <row r="416" spans="1:6" x14ac:dyDescent="0.25">
      <c r="A416">
        <f>IF(ISBLANK(B416),A415,IFERROR(INDEX(Reaches!$A$7:$A$60,MATCH(B416,Reaches!$B$7:$B$60,0)),-1))</f>
        <v>20</v>
      </c>
      <c r="C416" s="1" t="str">
        <f>IFERROR(INDEX(Reaches!$G$7:$G$60,MATCH(B416,Reaches!$B$7:$B$60,0)),"")</f>
        <v/>
      </c>
      <c r="D416" s="3">
        <v>1670.363414634146</v>
      </c>
      <c r="E416">
        <v>15000</v>
      </c>
    </row>
    <row r="417" spans="1:6" x14ac:dyDescent="0.25">
      <c r="A417">
        <f>IF(ISBLANK(B417),A416,IFERROR(INDEX(Reaches!$A$7:$A$60,MATCH(B417,Reaches!$B$7:$B$60,0)),-1))</f>
        <v>20</v>
      </c>
      <c r="C417" s="1" t="str">
        <f>IFERROR(INDEX(Reaches!$G$7:$G$60,MATCH(B417,Reaches!$B$7:$B$60,0)),"")</f>
        <v/>
      </c>
      <c r="D417" s="3">
        <v>1836.1682926829267</v>
      </c>
      <c r="E417">
        <v>17000</v>
      </c>
    </row>
    <row r="418" spans="1:6" x14ac:dyDescent="0.25">
      <c r="A418">
        <f>IF(ISBLANK(B418),A417,IFERROR(INDEX(Reaches!$A$7:$A$60,MATCH(B418,Reaches!$B$7:$B$60,0)),-1))</f>
        <v>20</v>
      </c>
      <c r="C418" s="1" t="str">
        <f>IFERROR(INDEX(Reaches!$G$7:$G$60,MATCH(B418,Reaches!$B$7:$B$60,0)),"")</f>
        <v/>
      </c>
      <c r="D418" s="3">
        <v>2091.1536585365852</v>
      </c>
      <c r="E418">
        <v>20000</v>
      </c>
    </row>
    <row r="419" spans="1:6" x14ac:dyDescent="0.25">
      <c r="A419">
        <f>IF(ISBLANK(B419),A418,IFERROR(INDEX(Reaches!$A$7:$A$60,MATCH(B419,Reaches!$B$7:$B$60,0)),-1))</f>
        <v>20</v>
      </c>
      <c r="C419" s="1" t="str">
        <f>IFERROR(INDEX(Reaches!$G$7:$G$60,MATCH(B419,Reaches!$B$7:$B$60,0)),"")</f>
        <v/>
      </c>
      <c r="D419" s="3">
        <v>2553.9815331010445</v>
      </c>
      <c r="E419">
        <v>25000</v>
      </c>
    </row>
    <row r="420" spans="1:6" x14ac:dyDescent="0.25">
      <c r="A420">
        <f>IF(ISBLANK(B420),A419,IFERROR(INDEX(Reaches!$A$7:$A$60,MATCH(B420,Reaches!$B$7:$B$60,0)),-1))</f>
        <v>20</v>
      </c>
      <c r="C420" s="1" t="str">
        <f>IFERROR(INDEX(Reaches!$G$7:$G$60,MATCH(B420,Reaches!$B$7:$B$60,0)),"")</f>
        <v/>
      </c>
      <c r="D420" s="3">
        <v>3025.4101045296156</v>
      </c>
      <c r="E420">
        <v>30000</v>
      </c>
    </row>
    <row r="421" spans="1:6" x14ac:dyDescent="0.25">
      <c r="A421">
        <f>IF(ISBLANK(B421),A420,IFERROR(INDEX(Reaches!$A$7:$A$60,MATCH(B421,Reaches!$B$7:$B$60,0)),-1))</f>
        <v>20</v>
      </c>
      <c r="C421" s="1" t="str">
        <f>IFERROR(INDEX(Reaches!$G$7:$G$60,MATCH(B421,Reaches!$B$7:$B$60,0)),"")</f>
        <v/>
      </c>
      <c r="D421" s="3">
        <v>3966.9564459930307</v>
      </c>
      <c r="E421">
        <v>40000</v>
      </c>
    </row>
    <row r="422" spans="1:6" x14ac:dyDescent="0.25">
      <c r="A422">
        <f>IF(ISBLANK(B422),A421,IFERROR(INDEX(Reaches!$A$7:$A$60,MATCH(B422,Reaches!$B$7:$B$60,0)),-1))</f>
        <v>20</v>
      </c>
      <c r="C422" s="1" t="str">
        <f>IFERROR(INDEX(Reaches!$G$7:$G$60,MATCH(B422,Reaches!$B$7:$B$60,0)),"")</f>
        <v/>
      </c>
      <c r="D422" s="3">
        <v>5148.3564459930303</v>
      </c>
      <c r="E422">
        <v>50000</v>
      </c>
    </row>
    <row r="423" spans="1:6" x14ac:dyDescent="0.25">
      <c r="A423">
        <f>IF(ISBLANK(B423),A422,IFERROR(INDEX(Reaches!$A$7:$A$60,MATCH(B423,Reaches!$B$7:$B$60,0)),-1))</f>
        <v>20</v>
      </c>
      <c r="C423" s="1" t="str">
        <f>IFERROR(INDEX(Reaches!$G$7:$G$60,MATCH(B423,Reaches!$B$7:$B$60,0)),"")</f>
        <v/>
      </c>
      <c r="D423" s="3">
        <v>6342.3564459930312</v>
      </c>
      <c r="E423">
        <v>60000</v>
      </c>
    </row>
    <row r="424" spans="1:6" x14ac:dyDescent="0.25">
      <c r="A424">
        <f>IF(ISBLANK(B424),A423,IFERROR(INDEX(Reaches!$A$7:$A$60,MATCH(B424,Reaches!$B$7:$B$60,0)),-1))</f>
        <v>20</v>
      </c>
      <c r="C424" s="1" t="str">
        <f>IFERROR(INDEX(Reaches!$G$7:$G$60,MATCH(B424,Reaches!$B$7:$B$60,0)),"")</f>
        <v/>
      </c>
      <c r="D424" s="3">
        <v>7516.3564459930285</v>
      </c>
      <c r="E424">
        <v>70000</v>
      </c>
    </row>
    <row r="425" spans="1:6" x14ac:dyDescent="0.25">
      <c r="A425">
        <f>IF(ISBLANK(B425),A424,IFERROR(INDEX(Reaches!$A$7:$A$60,MATCH(B425,Reaches!$B$7:$B$60,0)),-1))</f>
        <v>20</v>
      </c>
      <c r="C425" s="1" t="str">
        <f>IFERROR(INDEX(Reaches!$G$7:$G$60,MATCH(B425,Reaches!$B$7:$B$60,0)),"")</f>
        <v/>
      </c>
      <c r="D425" s="3">
        <v>8753.3564459930294</v>
      </c>
      <c r="E425">
        <v>80000</v>
      </c>
    </row>
    <row r="426" spans="1:6" x14ac:dyDescent="0.25">
      <c r="A426">
        <f>IF(ISBLANK(B426),A425,IFERROR(INDEX(Reaches!$A$7:$A$60,MATCH(B426,Reaches!$B$7:$B$60,0)),-1))</f>
        <v>20</v>
      </c>
      <c r="C426" s="1" t="str">
        <f>IFERROR(INDEX(Reaches!$G$7:$G$60,MATCH(B426,Reaches!$B$7:$B$60,0)),"")</f>
        <v/>
      </c>
      <c r="D426" s="3">
        <v>9742.3564459930294</v>
      </c>
      <c r="E426">
        <v>88200</v>
      </c>
    </row>
    <row r="427" spans="1:6" x14ac:dyDescent="0.25">
      <c r="A427">
        <f>IF(ISBLANK(B427),A426,IFERROR(INDEX(Reaches!$A$7:$A$60,MATCH(B427,Reaches!$B$7:$B$60,0)),-1))</f>
        <v>20</v>
      </c>
      <c r="C427" s="1" t="str">
        <f>IFERROR(INDEX(Reaches!$G$7:$G$60,MATCH(B427,Reaches!$B$7:$B$60,0)),"")</f>
        <v/>
      </c>
      <c r="D427" s="3">
        <v>11347.356445993029</v>
      </c>
      <c r="E427">
        <v>100000</v>
      </c>
    </row>
    <row r="428" spans="1:6" x14ac:dyDescent="0.25">
      <c r="A428">
        <f>IF(ISBLANK(B428),A427,IFERROR(INDEX(Reaches!$A$7:$A$60,MATCH(B428,Reaches!$B$7:$B$60,0)),-1))</f>
        <v>20</v>
      </c>
      <c r="C428" s="1" t="str">
        <f>IFERROR(INDEX(Reaches!$G$7:$G$60,MATCH(B428,Reaches!$B$7:$B$60,0)),"")</f>
        <v/>
      </c>
      <c r="D428" s="3">
        <v>14097.356445993026</v>
      </c>
      <c r="E428">
        <v>125000</v>
      </c>
    </row>
    <row r="429" spans="1:6" x14ac:dyDescent="0.25">
      <c r="A429">
        <f>IF(ISBLANK(B429),A428,IFERROR(INDEX(Reaches!$A$7:$A$60,MATCH(B429,Reaches!$B$7:$B$60,0)),-1))</f>
        <v>20</v>
      </c>
      <c r="C429" s="1" t="str">
        <f>IFERROR(INDEX(Reaches!$G$7:$G$60,MATCH(B429,Reaches!$B$7:$B$60,0)),"")</f>
        <v/>
      </c>
      <c r="D429" s="3">
        <v>55347.356445992969</v>
      </c>
      <c r="E429">
        <v>500000</v>
      </c>
    </row>
    <row r="430" spans="1:6" x14ac:dyDescent="0.25">
      <c r="A430">
        <f>IF(ISBLANK(B430),A429,IFERROR(INDEX(Reaches!$A$7:$A$60,MATCH(B430,Reaches!$B$7:$B$60,0)),-1))</f>
        <v>20</v>
      </c>
      <c r="C430" s="1"/>
      <c r="D430">
        <f>ROUND(D429+(E430-E429)*(D429-D428)/(E429-E428),0)</f>
        <v>110347</v>
      </c>
      <c r="E430">
        <v>999999</v>
      </c>
    </row>
    <row r="431" spans="1:6" x14ac:dyDescent="0.25">
      <c r="A431">
        <f>IF(ISBLANK(B431),A429,IFERROR(INDEX(Reaches!$A$7:$A$60,MATCH(B431,Reaches!$B$7:$B$60,0)),-1))</f>
        <v>21</v>
      </c>
      <c r="B431" t="s">
        <v>4</v>
      </c>
      <c r="C431" s="1">
        <f>IFERROR(INDEX(Reaches!$G$7:$G$60,MATCH(B431,Reaches!$B$7:$B$60,0)),"")</f>
        <v>8</v>
      </c>
      <c r="D431" s="3">
        <v>0</v>
      </c>
      <c r="E431">
        <v>0</v>
      </c>
      <c r="F431" t="s">
        <v>228</v>
      </c>
    </row>
    <row r="432" spans="1:6" x14ac:dyDescent="0.25">
      <c r="A432">
        <f>IF(ISBLANK(B432),A431,IFERROR(INDEX(Reaches!$A$7:$A$60,MATCH(B432,Reaches!$B$7:$B$60,0)),-1))</f>
        <v>21</v>
      </c>
      <c r="C432" s="1" t="str">
        <f>IFERROR(INDEX(Reaches!$G$7:$G$60,MATCH(B432,Reaches!$B$7:$B$60,0)),"")</f>
        <v/>
      </c>
      <c r="D432" s="3">
        <v>643.90243902439022</v>
      </c>
      <c r="E432">
        <v>2000</v>
      </c>
    </row>
    <row r="433" spans="1:5" x14ac:dyDescent="0.25">
      <c r="A433">
        <f>IF(ISBLANK(B433),A432,IFERROR(INDEX(Reaches!$A$7:$A$60,MATCH(B433,Reaches!$B$7:$B$60,0)),-1))</f>
        <v>21</v>
      </c>
      <c r="C433" s="1" t="str">
        <f>IFERROR(INDEX(Reaches!$G$7:$G$60,MATCH(B433,Reaches!$B$7:$B$60,0)),"")</f>
        <v/>
      </c>
      <c r="D433" s="3">
        <v>1614.9024390243901</v>
      </c>
      <c r="E433">
        <v>5000</v>
      </c>
    </row>
    <row r="434" spans="1:5" x14ac:dyDescent="0.25">
      <c r="A434">
        <f>IF(ISBLANK(B434),A433,IFERROR(INDEX(Reaches!$A$7:$A$60,MATCH(B434,Reaches!$B$7:$B$60,0)),-1))</f>
        <v>21</v>
      </c>
      <c r="C434" s="1" t="str">
        <f>IFERROR(INDEX(Reaches!$G$7:$G$60,MATCH(B434,Reaches!$B$7:$B$60,0)),"")</f>
        <v/>
      </c>
      <c r="D434" s="3">
        <v>3366.9024390243899</v>
      </c>
      <c r="E434">
        <v>10000</v>
      </c>
    </row>
    <row r="435" spans="1:5" x14ac:dyDescent="0.25">
      <c r="A435">
        <f>IF(ISBLANK(B435),A434,IFERROR(INDEX(Reaches!$A$7:$A$60,MATCH(B435,Reaches!$B$7:$B$60,0)),-1))</f>
        <v>21</v>
      </c>
      <c r="C435" s="1" t="str">
        <f>IFERROR(INDEX(Reaches!$G$7:$G$60,MATCH(B435,Reaches!$B$7:$B$60,0)),"")</f>
        <v/>
      </c>
      <c r="D435" s="3">
        <v>5252.6167247386757</v>
      </c>
      <c r="E435">
        <v>15000</v>
      </c>
    </row>
    <row r="436" spans="1:5" x14ac:dyDescent="0.25">
      <c r="A436">
        <f>IF(ISBLANK(B436),A435,IFERROR(INDEX(Reaches!$A$7:$A$60,MATCH(B436,Reaches!$B$7:$B$60,0)),-1))</f>
        <v>21</v>
      </c>
      <c r="C436" s="1" t="str">
        <f>IFERROR(INDEX(Reaches!$G$7:$G$60,MATCH(B436,Reaches!$B$7:$B$60,0)),"")</f>
        <v/>
      </c>
      <c r="D436" s="3">
        <v>7252.6167247386747</v>
      </c>
      <c r="E436">
        <v>20000</v>
      </c>
    </row>
    <row r="437" spans="1:5" x14ac:dyDescent="0.25">
      <c r="A437">
        <f>IF(ISBLANK(B437),A436,IFERROR(INDEX(Reaches!$A$7:$A$60,MATCH(B437,Reaches!$B$7:$B$60,0)),-1))</f>
        <v>21</v>
      </c>
      <c r="C437" s="1" t="str">
        <f>IFERROR(INDEX(Reaches!$G$7:$G$60,MATCH(B437,Reaches!$B$7:$B$60,0)),"")</f>
        <v/>
      </c>
      <c r="D437" s="3">
        <v>9452.6167247386747</v>
      </c>
      <c r="E437">
        <v>25000</v>
      </c>
    </row>
    <row r="438" spans="1:5" x14ac:dyDescent="0.25">
      <c r="A438">
        <f>IF(ISBLANK(B438),A437,IFERROR(INDEX(Reaches!$A$7:$A$60,MATCH(B438,Reaches!$B$7:$B$60,0)),-1))</f>
        <v>21</v>
      </c>
      <c r="C438" s="1" t="str">
        <f>IFERROR(INDEX(Reaches!$G$7:$G$60,MATCH(B438,Reaches!$B$7:$B$60,0)),"")</f>
        <v/>
      </c>
      <c r="D438" s="3">
        <v>11652.616724738673</v>
      </c>
      <c r="E438">
        <v>30000</v>
      </c>
    </row>
    <row r="439" spans="1:5" x14ac:dyDescent="0.25">
      <c r="A439">
        <f>IF(ISBLANK(B439),A438,IFERROR(INDEX(Reaches!$A$7:$A$60,MATCH(B439,Reaches!$B$7:$B$60,0)),-1))</f>
        <v>21</v>
      </c>
      <c r="C439" s="1" t="str">
        <f>IFERROR(INDEX(Reaches!$G$7:$G$60,MATCH(B439,Reaches!$B$7:$B$60,0)),"")</f>
        <v/>
      </c>
      <c r="D439" s="3">
        <v>13852.616724738675</v>
      </c>
      <c r="E439">
        <v>35000</v>
      </c>
    </row>
    <row r="440" spans="1:5" x14ac:dyDescent="0.25">
      <c r="A440">
        <f>IF(ISBLANK(B440),A439,IFERROR(INDEX(Reaches!$A$7:$A$60,MATCH(B440,Reaches!$B$7:$B$60,0)),-1))</f>
        <v>21</v>
      </c>
      <c r="C440" s="1" t="str">
        <f>IFERROR(INDEX(Reaches!$G$7:$G$60,MATCH(B440,Reaches!$B$7:$B$60,0)),"")</f>
        <v/>
      </c>
      <c r="D440" s="3">
        <v>16932.616724738673</v>
      </c>
      <c r="E440">
        <v>42000</v>
      </c>
    </row>
    <row r="441" spans="1:5" x14ac:dyDescent="0.25">
      <c r="A441">
        <f>IF(ISBLANK(B441),A440,IFERROR(INDEX(Reaches!$A$7:$A$60,MATCH(B441,Reaches!$B$7:$B$60,0)),-1))</f>
        <v>21</v>
      </c>
      <c r="C441" s="1" t="str">
        <f>IFERROR(INDEX(Reaches!$G$7:$G$60,MATCH(B441,Reaches!$B$7:$B$60,0)),"")</f>
        <v/>
      </c>
      <c r="D441" s="3">
        <v>24852.616724738673</v>
      </c>
      <c r="E441">
        <v>60000</v>
      </c>
    </row>
    <row r="442" spans="1:5" x14ac:dyDescent="0.25">
      <c r="A442">
        <f>IF(ISBLANK(B442),A441,IFERROR(INDEX(Reaches!$A$7:$A$60,MATCH(B442,Reaches!$B$7:$B$60,0)),-1))</f>
        <v>21</v>
      </c>
      <c r="C442" s="1" t="str">
        <f>IFERROR(INDEX(Reaches!$G$7:$G$60,MATCH(B442,Reaches!$B$7:$B$60,0)),"")</f>
        <v/>
      </c>
      <c r="D442" s="3">
        <v>33652.616724738669</v>
      </c>
      <c r="E442">
        <v>80000</v>
      </c>
    </row>
    <row r="443" spans="1:5" x14ac:dyDescent="0.25">
      <c r="A443">
        <f>IF(ISBLANK(B443),A442,IFERROR(INDEX(Reaches!$A$7:$A$60,MATCH(B443,Reaches!$B$7:$B$60,0)),-1))</f>
        <v>21</v>
      </c>
      <c r="C443" s="1" t="str">
        <f>IFERROR(INDEX(Reaches!$G$7:$G$60,MATCH(B443,Reaches!$B$7:$B$60,0)),"")</f>
        <v/>
      </c>
      <c r="D443" s="3">
        <v>42452.616724738669</v>
      </c>
      <c r="E443">
        <v>100000</v>
      </c>
    </row>
    <row r="444" spans="1:5" x14ac:dyDescent="0.25">
      <c r="A444">
        <f>IF(ISBLANK(B444),A443,IFERROR(INDEX(Reaches!$A$7:$A$60,MATCH(B444,Reaches!$B$7:$B$60,0)),-1))</f>
        <v>21</v>
      </c>
      <c r="C444" s="1" t="str">
        <f>IFERROR(INDEX(Reaches!$G$7:$G$60,MATCH(B444,Reaches!$B$7:$B$60,0)),"")</f>
        <v/>
      </c>
      <c r="D444" s="3">
        <v>51252.616724738662</v>
      </c>
      <c r="E444">
        <v>120000</v>
      </c>
    </row>
    <row r="445" spans="1:5" x14ac:dyDescent="0.25">
      <c r="A445">
        <f>IF(ISBLANK(B445),A444,IFERROR(INDEX(Reaches!$A$7:$A$60,MATCH(B445,Reaches!$B$7:$B$60,0)),-1))</f>
        <v>21</v>
      </c>
      <c r="C445" s="1" t="str">
        <f>IFERROR(INDEX(Reaches!$G$7:$G$60,MATCH(B445,Reaches!$B$7:$B$60,0)),"")</f>
        <v/>
      </c>
      <c r="D445" s="3">
        <v>60052.616724738662</v>
      </c>
      <c r="E445">
        <v>140000</v>
      </c>
    </row>
    <row r="446" spans="1:5" x14ac:dyDescent="0.25">
      <c r="A446">
        <f>IF(ISBLANK(B446),A445,IFERROR(INDEX(Reaches!$A$7:$A$60,MATCH(B446,Reaches!$B$7:$B$60,0)),-1))</f>
        <v>21</v>
      </c>
      <c r="C446" s="1" t="str">
        <f>IFERROR(INDEX(Reaches!$G$7:$G$60,MATCH(B446,Reaches!$B$7:$B$60,0)),"")</f>
        <v/>
      </c>
      <c r="D446" s="3">
        <v>68852.616724738662</v>
      </c>
      <c r="E446">
        <v>160000</v>
      </c>
    </row>
    <row r="447" spans="1:5" x14ac:dyDescent="0.25">
      <c r="A447">
        <f>IF(ISBLANK(B447),A446,IFERROR(INDEX(Reaches!$A$7:$A$60,MATCH(B447,Reaches!$B$7:$B$60,0)),-1))</f>
        <v>21</v>
      </c>
      <c r="C447" s="1" t="str">
        <f>IFERROR(INDEX(Reaches!$G$7:$G$60,MATCH(B447,Reaches!$B$7:$B$60,0)),"")</f>
        <v/>
      </c>
      <c r="D447" s="3">
        <v>77652.616724738677</v>
      </c>
      <c r="E447">
        <v>180000</v>
      </c>
    </row>
    <row r="448" spans="1:5" x14ac:dyDescent="0.25">
      <c r="A448">
        <f>IF(ISBLANK(B448),A447,IFERROR(INDEX(Reaches!$A$7:$A$60,MATCH(B448,Reaches!$B$7:$B$60,0)),-1))</f>
        <v>21</v>
      </c>
      <c r="C448" s="1" t="str">
        <f>IFERROR(INDEX(Reaches!$G$7:$G$60,MATCH(B448,Reaches!$B$7:$B$60,0)),"")</f>
        <v/>
      </c>
      <c r="D448" s="3">
        <v>86452.616724738677</v>
      </c>
      <c r="E448">
        <v>200000</v>
      </c>
    </row>
    <row r="449" spans="1:5" x14ac:dyDescent="0.25">
      <c r="A449">
        <f>IF(ISBLANK(B449),A448,IFERROR(INDEX(Reaches!$A$7:$A$60,MATCH(B449,Reaches!$B$7:$B$60,0)),-1))</f>
        <v>21</v>
      </c>
      <c r="C449" s="1" t="str">
        <f>IFERROR(INDEX(Reaches!$G$7:$G$60,MATCH(B449,Reaches!$B$7:$B$60,0)),"")</f>
        <v/>
      </c>
      <c r="D449" s="3">
        <v>90852.616724738677</v>
      </c>
      <c r="E449">
        <v>210000</v>
      </c>
    </row>
    <row r="450" spans="1:5" x14ac:dyDescent="0.25">
      <c r="A450">
        <f>IF(ISBLANK(B450),A449,IFERROR(INDEX(Reaches!$A$7:$A$60,MATCH(B450,Reaches!$B$7:$B$60,0)),-1))</f>
        <v>21</v>
      </c>
      <c r="C450" s="1" t="str">
        <f>IFERROR(INDEX(Reaches!$G$7:$G$60,MATCH(B450,Reaches!$B$7:$B$60,0)),"")</f>
        <v/>
      </c>
      <c r="D450" s="3">
        <v>139252.61672473865</v>
      </c>
      <c r="E450">
        <v>320000</v>
      </c>
    </row>
    <row r="451" spans="1:5" x14ac:dyDescent="0.25">
      <c r="A451">
        <f>IF(ISBLANK(B451),A450,IFERROR(INDEX(Reaches!$A$7:$A$60,MATCH(B451,Reaches!$B$7:$B$60,0)),-1))</f>
        <v>21</v>
      </c>
      <c r="C451" s="1" t="str">
        <f>IFERROR(INDEX(Reaches!$G$7:$G$60,MATCH(B451,Reaches!$B$7:$B$60,0)),"")</f>
        <v/>
      </c>
      <c r="D451" s="3">
        <v>174452.61672473865</v>
      </c>
      <c r="E451">
        <v>400000</v>
      </c>
    </row>
    <row r="452" spans="1:5" x14ac:dyDescent="0.25">
      <c r="A452">
        <f>IF(ISBLANK(B452),A451,IFERROR(INDEX(Reaches!$A$7:$A$60,MATCH(B452,Reaches!$B$7:$B$60,0)),-1))</f>
        <v>21</v>
      </c>
      <c r="C452" s="1"/>
      <c r="D452">
        <f>ROUND(D451+(E452-E451)*(D451-D450)/(E451-E450),0)</f>
        <v>878453</v>
      </c>
      <c r="E452">
        <v>2000000</v>
      </c>
    </row>
    <row r="453" spans="1:5" x14ac:dyDescent="0.25">
      <c r="A453">
        <f>IF(ISBLANK(B453),A451,IFERROR(INDEX(Reaches!$A$7:$A$60,MATCH(B453,Reaches!$B$7:$B$60,0)),-1))</f>
        <v>22</v>
      </c>
      <c r="B453" t="s">
        <v>39</v>
      </c>
      <c r="C453" s="1">
        <f>IFERROR(INDEX(Reaches!$G$7:$G$60,MATCH(B453,Reaches!$B$7:$B$60,0)),"")</f>
        <v>3</v>
      </c>
      <c r="D453" s="3">
        <v>0</v>
      </c>
      <c r="E453">
        <v>0</v>
      </c>
    </row>
    <row r="454" spans="1:5" x14ac:dyDescent="0.25">
      <c r="A454">
        <f>IF(ISBLANK(B454),A453,IFERROR(INDEX(Reaches!$A$7:$A$60,MATCH(B454,Reaches!$B$7:$B$60,0)),-1))</f>
        <v>22</v>
      </c>
      <c r="C454" s="1" t="str">
        <f>IFERROR(INDEX(Reaches!$G$7:$G$60,MATCH(B454,Reaches!$B$7:$B$60,0)),"")</f>
        <v/>
      </c>
      <c r="D454" s="3">
        <v>1584</v>
      </c>
      <c r="E454">
        <v>2000</v>
      </c>
    </row>
    <row r="455" spans="1:5" x14ac:dyDescent="0.25">
      <c r="A455">
        <f>IF(ISBLANK(B455),A454,IFERROR(INDEX(Reaches!$A$7:$A$60,MATCH(B455,Reaches!$B$7:$B$60,0)),-1))</f>
        <v>22</v>
      </c>
      <c r="C455" s="1" t="str">
        <f>IFERROR(INDEX(Reaches!$G$7:$G$60,MATCH(B455,Reaches!$B$7:$B$60,0)),"")</f>
        <v/>
      </c>
      <c r="D455" s="3">
        <v>2953</v>
      </c>
      <c r="E455">
        <v>5000</v>
      </c>
    </row>
    <row r="456" spans="1:5" x14ac:dyDescent="0.25">
      <c r="A456">
        <f>IF(ISBLANK(B456),A455,IFERROR(INDEX(Reaches!$A$7:$A$60,MATCH(B456,Reaches!$B$7:$B$60,0)),-1))</f>
        <v>22</v>
      </c>
      <c r="C456" s="1" t="str">
        <f>IFERROR(INDEX(Reaches!$G$7:$G$60,MATCH(B456,Reaches!$B$7:$B$60,0)),"")</f>
        <v/>
      </c>
      <c r="D456" s="3">
        <v>4970</v>
      </c>
      <c r="E456">
        <v>10000</v>
      </c>
    </row>
    <row r="457" spans="1:5" x14ac:dyDescent="0.25">
      <c r="A457">
        <f>IF(ISBLANK(B457),A456,IFERROR(INDEX(Reaches!$A$7:$A$60,MATCH(B457,Reaches!$B$7:$B$60,0)),-1))</f>
        <v>22</v>
      </c>
      <c r="C457" s="1" t="str">
        <f>IFERROR(INDEX(Reaches!$G$7:$G$60,MATCH(B457,Reaches!$B$7:$B$60,0)),"")</f>
        <v/>
      </c>
      <c r="D457" s="3">
        <v>7001</v>
      </c>
      <c r="E457">
        <v>15000</v>
      </c>
    </row>
    <row r="458" spans="1:5" x14ac:dyDescent="0.25">
      <c r="A458">
        <f>IF(ISBLANK(B458),A457,IFERROR(INDEX(Reaches!$A$7:$A$60,MATCH(B458,Reaches!$B$7:$B$60,0)),-1))</f>
        <v>22</v>
      </c>
      <c r="C458" s="1" t="str">
        <f>IFERROR(INDEX(Reaches!$G$7:$G$60,MATCH(B458,Reaches!$B$7:$B$60,0)),"")</f>
        <v/>
      </c>
      <c r="D458" s="3">
        <v>9366</v>
      </c>
      <c r="E458">
        <v>20000</v>
      </c>
    </row>
    <row r="459" spans="1:5" x14ac:dyDescent="0.25">
      <c r="A459">
        <f>IF(ISBLANK(B459),A458,IFERROR(INDEX(Reaches!$A$7:$A$60,MATCH(B459,Reaches!$B$7:$B$60,0)),-1))</f>
        <v>22</v>
      </c>
      <c r="C459" s="1" t="str">
        <f>IFERROR(INDEX(Reaches!$G$7:$G$60,MATCH(B459,Reaches!$B$7:$B$60,0)),"")</f>
        <v/>
      </c>
      <c r="D459" s="3">
        <v>12319</v>
      </c>
      <c r="E459">
        <v>25000</v>
      </c>
    </row>
    <row r="460" spans="1:5" x14ac:dyDescent="0.25">
      <c r="A460">
        <f>IF(ISBLANK(B460),A459,IFERROR(INDEX(Reaches!$A$7:$A$60,MATCH(B460,Reaches!$B$7:$B$60,0)),-1))</f>
        <v>22</v>
      </c>
      <c r="C460" s="1" t="str">
        <f>IFERROR(INDEX(Reaches!$G$7:$G$60,MATCH(B460,Reaches!$B$7:$B$60,0)),"")</f>
        <v/>
      </c>
      <c r="D460" s="3">
        <v>15717</v>
      </c>
      <c r="E460">
        <v>30000</v>
      </c>
    </row>
    <row r="461" spans="1:5" x14ac:dyDescent="0.25">
      <c r="A461">
        <f>IF(ISBLANK(B461),A460,IFERROR(INDEX(Reaches!$A$7:$A$60,MATCH(B461,Reaches!$B$7:$B$60,0)),-1))</f>
        <v>22</v>
      </c>
      <c r="C461" s="1" t="str">
        <f>IFERROR(INDEX(Reaches!$G$7:$G$60,MATCH(B461,Reaches!$B$7:$B$60,0)),"")</f>
        <v/>
      </c>
      <c r="D461" s="3">
        <v>20065</v>
      </c>
      <c r="E461">
        <v>36000</v>
      </c>
    </row>
    <row r="462" spans="1:5" x14ac:dyDescent="0.25">
      <c r="A462">
        <f>IF(ISBLANK(B462),A461,IFERROR(INDEX(Reaches!$A$7:$A$60,MATCH(B462,Reaches!$B$7:$B$60,0)),-1))</f>
        <v>22</v>
      </c>
      <c r="C462" s="1" t="str">
        <f>IFERROR(INDEX(Reaches!$G$7:$G$60,MATCH(B462,Reaches!$B$7:$B$60,0)),"")</f>
        <v/>
      </c>
      <c r="D462" s="3">
        <v>24439</v>
      </c>
      <c r="E462">
        <v>42000</v>
      </c>
    </row>
    <row r="463" spans="1:5" x14ac:dyDescent="0.25">
      <c r="A463">
        <f>IF(ISBLANK(B463),A462,IFERROR(INDEX(Reaches!$A$7:$A$60,MATCH(B463,Reaches!$B$7:$B$60,0)),-1))</f>
        <v>22</v>
      </c>
      <c r="C463" s="1" t="str">
        <f>IFERROR(INDEX(Reaches!$G$7:$G$60,MATCH(B463,Reaches!$B$7:$B$60,0)),"")</f>
        <v/>
      </c>
      <c r="D463" s="3">
        <v>33650</v>
      </c>
      <c r="E463">
        <v>55000</v>
      </c>
    </row>
    <row r="464" spans="1:5" x14ac:dyDescent="0.25">
      <c r="A464">
        <f>IF(ISBLANK(B464),A463,IFERROR(INDEX(Reaches!$A$7:$A$60,MATCH(B464,Reaches!$B$7:$B$60,0)),-1))</f>
        <v>22</v>
      </c>
      <c r="C464" s="1" t="str">
        <f>IFERROR(INDEX(Reaches!$G$7:$G$60,MATCH(B464,Reaches!$B$7:$B$60,0)),"")</f>
        <v/>
      </c>
      <c r="D464" s="3">
        <v>43685</v>
      </c>
      <c r="E464">
        <v>70500</v>
      </c>
    </row>
    <row r="465" spans="1:6" x14ac:dyDescent="0.25">
      <c r="A465">
        <f>IF(ISBLANK(B465),A464,IFERROR(INDEX(Reaches!$A$7:$A$60,MATCH(B465,Reaches!$B$7:$B$60,0)),-1))</f>
        <v>22</v>
      </c>
      <c r="C465" s="1" t="str">
        <f>IFERROR(INDEX(Reaches!$G$7:$G$60,MATCH(B465,Reaches!$B$7:$B$60,0)),"")</f>
        <v/>
      </c>
      <c r="D465" s="3">
        <v>52153</v>
      </c>
      <c r="E465">
        <v>85000</v>
      </c>
    </row>
    <row r="466" spans="1:6" x14ac:dyDescent="0.25">
      <c r="A466">
        <f>IF(ISBLANK(B466),A465,IFERROR(INDEX(Reaches!$A$7:$A$60,MATCH(B466,Reaches!$B$7:$B$60,0)),-1))</f>
        <v>22</v>
      </c>
      <c r="C466" s="1" t="str">
        <f>IFERROR(INDEX(Reaches!$G$7:$G$60,MATCH(B466,Reaches!$B$7:$B$60,0)),"")</f>
        <v/>
      </c>
      <c r="D466" s="3">
        <v>60151</v>
      </c>
      <c r="E466">
        <v>100000</v>
      </c>
    </row>
    <row r="467" spans="1:6" x14ac:dyDescent="0.25">
      <c r="A467">
        <f>IF(ISBLANK(B467),A466,IFERROR(INDEX(Reaches!$A$7:$A$60,MATCH(B467,Reaches!$B$7:$B$60,0)),-1))</f>
        <v>22</v>
      </c>
      <c r="C467" s="1" t="str">
        <f>IFERROR(INDEX(Reaches!$G$7:$G$60,MATCH(B467,Reaches!$B$7:$B$60,0)),"")</f>
        <v/>
      </c>
      <c r="D467" s="3">
        <v>69888</v>
      </c>
      <c r="E467">
        <v>120000</v>
      </c>
    </row>
    <row r="468" spans="1:6" x14ac:dyDescent="0.25">
      <c r="A468">
        <f>IF(ISBLANK(B468),A467,IFERROR(INDEX(Reaches!$A$7:$A$60,MATCH(B468,Reaches!$B$7:$B$60,0)),-1))</f>
        <v>22</v>
      </c>
      <c r="C468" s="1" t="str">
        <f>IFERROR(INDEX(Reaches!$G$7:$G$60,MATCH(B468,Reaches!$B$7:$B$60,0)),"")</f>
        <v/>
      </c>
      <c r="D468" s="3">
        <v>83875</v>
      </c>
      <c r="E468">
        <v>150000</v>
      </c>
    </row>
    <row r="469" spans="1:6" x14ac:dyDescent="0.25">
      <c r="A469">
        <f>IF(ISBLANK(B469),A468,IFERROR(INDEX(Reaches!$A$7:$A$60,MATCH(B469,Reaches!$B$7:$B$60,0)),-1))</f>
        <v>22</v>
      </c>
      <c r="C469" s="1" t="str">
        <f>IFERROR(INDEX(Reaches!$G$7:$G$60,MATCH(B469,Reaches!$B$7:$B$60,0)),"")</f>
        <v/>
      </c>
      <c r="D469" s="3">
        <v>95321</v>
      </c>
      <c r="E469">
        <v>175000</v>
      </c>
    </row>
    <row r="470" spans="1:6" x14ac:dyDescent="0.25">
      <c r="A470">
        <f>IF(ISBLANK(B470),A469,IFERROR(INDEX(Reaches!$A$7:$A$60,MATCH(B470,Reaches!$B$7:$B$60,0)),-1))</f>
        <v>22</v>
      </c>
      <c r="C470" s="1" t="str">
        <f>IFERROR(INDEX(Reaches!$G$7:$G$60,MATCH(B470,Reaches!$B$7:$B$60,0)),"")</f>
        <v/>
      </c>
      <c r="D470" s="3">
        <v>102349</v>
      </c>
      <c r="E470">
        <v>190000</v>
      </c>
    </row>
    <row r="471" spans="1:6" x14ac:dyDescent="0.25">
      <c r="A471">
        <f>IF(ISBLANK(B471),A470,IFERROR(INDEX(Reaches!$A$7:$A$60,MATCH(B471,Reaches!$B$7:$B$60,0)),-1))</f>
        <v>22</v>
      </c>
      <c r="C471" s="1" t="str">
        <f>IFERROR(INDEX(Reaches!$G$7:$G$60,MATCH(B471,Reaches!$B$7:$B$60,0)),"")</f>
        <v/>
      </c>
      <c r="D471" s="3">
        <v>112137</v>
      </c>
      <c r="E471">
        <v>210000</v>
      </c>
    </row>
    <row r="472" spans="1:6" x14ac:dyDescent="0.25">
      <c r="A472">
        <f>IF(ISBLANK(B472),A471,IFERROR(INDEX(Reaches!$A$7:$A$60,MATCH(B472,Reaches!$B$7:$B$60,0)),-1))</f>
        <v>22</v>
      </c>
      <c r="C472" s="1" t="str">
        <f>IFERROR(INDEX(Reaches!$G$7:$G$60,MATCH(B472,Reaches!$B$7:$B$60,0)),"")</f>
        <v/>
      </c>
      <c r="D472" s="3">
        <v>169589</v>
      </c>
      <c r="E472">
        <v>320000</v>
      </c>
    </row>
    <row r="473" spans="1:6" x14ac:dyDescent="0.25">
      <c r="A473">
        <f>IF(ISBLANK(B473),A472,IFERROR(INDEX(Reaches!$A$7:$A$60,MATCH(B473,Reaches!$B$7:$B$60,0)),-1))</f>
        <v>22</v>
      </c>
      <c r="C473" s="1" t="str">
        <f>IFERROR(INDEX(Reaches!$G$7:$G$60,MATCH(B473,Reaches!$B$7:$B$60,0)),"")</f>
        <v/>
      </c>
      <c r="D473" s="3">
        <v>211354</v>
      </c>
      <c r="E473">
        <v>400000</v>
      </c>
    </row>
    <row r="474" spans="1:6" x14ac:dyDescent="0.25">
      <c r="A474">
        <f>IF(ISBLANK(B474),A473,IFERROR(INDEX(Reaches!$A$7:$A$60,MATCH(B474,Reaches!$B$7:$B$60,0)),-1))</f>
        <v>22</v>
      </c>
      <c r="C474" s="1"/>
      <c r="D474">
        <f>ROUND(D473+(E474-E473)*(D473-D472)/(E473-E472),0)</f>
        <v>1046654</v>
      </c>
      <c r="E474">
        <v>2000000</v>
      </c>
    </row>
    <row r="475" spans="1:6" x14ac:dyDescent="0.25">
      <c r="A475">
        <f>IF(ISBLANK(B475),A474,IFERROR(INDEX(Reaches!$A$7:$A$60,MATCH(B475,Reaches!$B$7:$B$60,0)),-1))</f>
        <v>23</v>
      </c>
      <c r="B475" t="s">
        <v>2</v>
      </c>
      <c r="C475" s="1">
        <f>IFERROR(INDEX(Reaches!$G$7:$G$60,MATCH(B475,Reaches!$B$7:$B$60,0)),"")</f>
        <v>4</v>
      </c>
      <c r="D475" s="3">
        <v>0</v>
      </c>
      <c r="E475">
        <v>0</v>
      </c>
      <c r="F475" t="s">
        <v>228</v>
      </c>
    </row>
    <row r="476" spans="1:6" x14ac:dyDescent="0.25">
      <c r="A476">
        <f>IF(ISBLANK(B476),A475,IFERROR(INDEX(Reaches!$A$7:$A$60,MATCH(B476,Reaches!$B$7:$B$60,0)),-1))</f>
        <v>23</v>
      </c>
      <c r="C476" s="1" t="str">
        <f>IFERROR(INDEX(Reaches!$G$7:$G$60,MATCH(B476,Reaches!$B$7:$B$60,0)),"")</f>
        <v/>
      </c>
      <c r="D476" s="3">
        <v>283</v>
      </c>
      <c r="E476">
        <v>50</v>
      </c>
    </row>
    <row r="477" spans="1:6" x14ac:dyDescent="0.25">
      <c r="A477">
        <f>IF(ISBLANK(B477),A476,IFERROR(INDEX(Reaches!$A$7:$A$60,MATCH(B477,Reaches!$B$7:$B$60,0)),-1))</f>
        <v>23</v>
      </c>
      <c r="C477" s="1" t="str">
        <f>IFERROR(INDEX(Reaches!$G$7:$G$60,MATCH(B477,Reaches!$B$7:$B$60,0)),"")</f>
        <v/>
      </c>
      <c r="D477" s="3">
        <v>313.7407407407407</v>
      </c>
      <c r="E477">
        <v>100</v>
      </c>
    </row>
    <row r="478" spans="1:6" x14ac:dyDescent="0.25">
      <c r="A478">
        <f>IF(ISBLANK(B478),A477,IFERROR(INDEX(Reaches!$A$7:$A$60,MATCH(B478,Reaches!$B$7:$B$60,0)),-1))</f>
        <v>23</v>
      </c>
      <c r="C478" s="1" t="str">
        <f>IFERROR(INDEX(Reaches!$G$7:$G$60,MATCH(B478,Reaches!$B$7:$B$60,0)),"")</f>
        <v/>
      </c>
      <c r="D478" s="3">
        <v>405.96296296296299</v>
      </c>
      <c r="E478">
        <v>250</v>
      </c>
    </row>
    <row r="479" spans="1:6" x14ac:dyDescent="0.25">
      <c r="A479">
        <f>IF(ISBLANK(B479),A478,IFERROR(INDEX(Reaches!$A$7:$A$60,MATCH(B479,Reaches!$B$7:$B$60,0)),-1))</f>
        <v>23</v>
      </c>
      <c r="C479" s="1" t="str">
        <f>IFERROR(INDEX(Reaches!$G$7:$G$60,MATCH(B479,Reaches!$B$7:$B$60,0)),"")</f>
        <v/>
      </c>
      <c r="D479" s="3">
        <v>559.66666666666663</v>
      </c>
      <c r="E479">
        <v>500</v>
      </c>
    </row>
    <row r="480" spans="1:6" x14ac:dyDescent="0.25">
      <c r="A480">
        <f>IF(ISBLANK(B480),A479,IFERROR(INDEX(Reaches!$A$7:$A$60,MATCH(B480,Reaches!$B$7:$B$60,0)),-1))</f>
        <v>23</v>
      </c>
      <c r="C480" s="1" t="str">
        <f>IFERROR(INDEX(Reaches!$G$7:$G$60,MATCH(B480,Reaches!$B$7:$B$60,0)),"")</f>
        <v/>
      </c>
      <c r="D480" s="3">
        <v>867.07407407407413</v>
      </c>
      <c r="E480">
        <v>1000</v>
      </c>
    </row>
    <row r="481" spans="1:6" x14ac:dyDescent="0.25">
      <c r="A481">
        <f>IF(ISBLANK(B481),A480,IFERROR(INDEX(Reaches!$A$7:$A$60,MATCH(B481,Reaches!$B$7:$B$60,0)),-1))</f>
        <v>23</v>
      </c>
      <c r="C481" s="1" t="str">
        <f>IFERROR(INDEX(Reaches!$G$7:$G$60,MATCH(B481,Reaches!$B$7:$B$60,0)),"")</f>
        <v/>
      </c>
      <c r="D481" s="3">
        <v>1531.0740740740741</v>
      </c>
      <c r="E481">
        <v>2000</v>
      </c>
    </row>
    <row r="482" spans="1:6" x14ac:dyDescent="0.25">
      <c r="A482">
        <f>IF(ISBLANK(B482),A481,IFERROR(INDEX(Reaches!$A$7:$A$60,MATCH(B482,Reaches!$B$7:$B$60,0)),-1))</f>
        <v>23</v>
      </c>
      <c r="C482" s="1" t="str">
        <f>IFERROR(INDEX(Reaches!$G$7:$G$60,MATCH(B482,Reaches!$B$7:$B$60,0)),"")</f>
        <v/>
      </c>
      <c r="D482" s="3">
        <v>2285.6195286195284</v>
      </c>
      <c r="E482">
        <v>3000</v>
      </c>
    </row>
    <row r="483" spans="1:6" x14ac:dyDescent="0.25">
      <c r="A483">
        <f>IF(ISBLANK(B483),A482,IFERROR(INDEX(Reaches!$A$7:$A$60,MATCH(B483,Reaches!$B$7:$B$60,0)),-1))</f>
        <v>23</v>
      </c>
      <c r="C483" s="1" t="str">
        <f>IFERROR(INDEX(Reaches!$G$7:$G$60,MATCH(B483,Reaches!$B$7:$B$60,0)),"")</f>
        <v/>
      </c>
      <c r="D483" s="3">
        <v>3040.1649831649829</v>
      </c>
      <c r="E483">
        <v>4000</v>
      </c>
    </row>
    <row r="484" spans="1:6" x14ac:dyDescent="0.25">
      <c r="A484">
        <f>IF(ISBLANK(B484),A483,IFERROR(INDEX(Reaches!$A$7:$A$60,MATCH(B484,Reaches!$B$7:$B$60,0)),-1))</f>
        <v>23</v>
      </c>
      <c r="C484" s="1" t="str">
        <f>IFERROR(INDEX(Reaches!$G$7:$G$60,MATCH(B484,Reaches!$B$7:$B$60,0)),"")</f>
        <v/>
      </c>
      <c r="D484" s="3">
        <v>3471.7649831649828</v>
      </c>
      <c r="E484">
        <v>4650</v>
      </c>
    </row>
    <row r="485" spans="1:6" x14ac:dyDescent="0.25">
      <c r="A485">
        <f>IF(ISBLANK(B485),A484,IFERROR(INDEX(Reaches!$A$7:$A$60,MATCH(B485,Reaches!$B$7:$B$60,0)),-1))</f>
        <v>23</v>
      </c>
      <c r="C485" s="1" t="str">
        <f>IFERROR(INDEX(Reaches!$G$7:$G$60,MATCH(B485,Reaches!$B$7:$B$60,0)),"")</f>
        <v/>
      </c>
      <c r="D485" s="3">
        <v>4036.1649831649829</v>
      </c>
      <c r="E485">
        <v>5500</v>
      </c>
    </row>
    <row r="486" spans="1:6" x14ac:dyDescent="0.25">
      <c r="A486">
        <f>IF(ISBLANK(B486),A485,IFERROR(INDEX(Reaches!$A$7:$A$60,MATCH(B486,Reaches!$B$7:$B$60,0)),-1))</f>
        <v>23</v>
      </c>
      <c r="C486" s="1" t="str">
        <f>IFERROR(INDEX(Reaches!$G$7:$G$60,MATCH(B486,Reaches!$B$7:$B$60,0)),"")</f>
        <v/>
      </c>
      <c r="D486" s="3">
        <v>4886.084983164983</v>
      </c>
      <c r="E486">
        <v>6780</v>
      </c>
    </row>
    <row r="487" spans="1:6" x14ac:dyDescent="0.25">
      <c r="A487">
        <f>IF(ISBLANK(B487),A486,IFERROR(INDEX(Reaches!$A$7:$A$60,MATCH(B487,Reaches!$B$7:$B$60,0)),-1))</f>
        <v>23</v>
      </c>
      <c r="C487" s="1" t="str">
        <f>IFERROR(INDEX(Reaches!$G$7:$G$60,MATCH(B487,Reaches!$B$7:$B$60,0)),"")</f>
        <v/>
      </c>
      <c r="D487" s="3">
        <v>5364.1649831649829</v>
      </c>
      <c r="E487">
        <v>7500</v>
      </c>
    </row>
    <row r="488" spans="1:6" x14ac:dyDescent="0.25">
      <c r="A488">
        <f>IF(ISBLANK(B488),A487,IFERROR(INDEX(Reaches!$A$7:$A$60,MATCH(B488,Reaches!$B$7:$B$60,0)),-1))</f>
        <v>23</v>
      </c>
      <c r="C488" s="1" t="str">
        <f>IFERROR(INDEX(Reaches!$G$7:$G$60,MATCH(B488,Reaches!$B$7:$B$60,0)),"")</f>
        <v/>
      </c>
      <c r="D488" s="3">
        <v>6692.1649831649829</v>
      </c>
      <c r="E488">
        <v>9500</v>
      </c>
    </row>
    <row r="489" spans="1:6" x14ac:dyDescent="0.25">
      <c r="A489">
        <f>IF(ISBLANK(B489),A488,IFERROR(INDEX(Reaches!$A$7:$A$60,MATCH(B489,Reaches!$B$7:$B$60,0)),-1))</f>
        <v>23</v>
      </c>
      <c r="C489" s="1" t="str">
        <f>IFERROR(INDEX(Reaches!$G$7:$G$60,MATCH(B489,Reaches!$B$7:$B$60,0)),"")</f>
        <v/>
      </c>
      <c r="D489" s="3">
        <v>8020.1649831649829</v>
      </c>
      <c r="E489">
        <v>11500</v>
      </c>
    </row>
    <row r="490" spans="1:6" x14ac:dyDescent="0.25">
      <c r="A490">
        <f>IF(ISBLANK(B490),A489,IFERROR(INDEX(Reaches!$A$7:$A$60,MATCH(B490,Reaches!$B$7:$B$60,0)),-1))</f>
        <v>23</v>
      </c>
      <c r="C490" s="1" t="str">
        <f>IFERROR(INDEX(Reaches!$G$7:$G$60,MATCH(B490,Reaches!$B$7:$B$60,0)),"")</f>
        <v/>
      </c>
      <c r="D490" s="3">
        <v>9348.1649831649829</v>
      </c>
      <c r="E490">
        <v>13500</v>
      </c>
    </row>
    <row r="491" spans="1:6" x14ac:dyDescent="0.25">
      <c r="A491">
        <f>IF(ISBLANK(B491),A490,IFERROR(INDEX(Reaches!$A$7:$A$60,MATCH(B491,Reaches!$B$7:$B$60,0)),-1))</f>
        <v>23</v>
      </c>
      <c r="C491" s="1" t="str">
        <f>IFERROR(INDEX(Reaches!$G$7:$G$60,MATCH(B491,Reaches!$B$7:$B$60,0)),"")</f>
        <v/>
      </c>
      <c r="D491" s="3">
        <v>10676.164983164983</v>
      </c>
      <c r="E491">
        <v>15500</v>
      </c>
    </row>
    <row r="492" spans="1:6" x14ac:dyDescent="0.25">
      <c r="A492">
        <f>IF(ISBLANK(B492),A491,IFERROR(INDEX(Reaches!$A$7:$A$60,MATCH(B492,Reaches!$B$7:$B$60,0)),-1))</f>
        <v>23</v>
      </c>
      <c r="C492" s="1" t="str">
        <f>IFERROR(INDEX(Reaches!$G$7:$G$60,MATCH(B492,Reaches!$B$7:$B$60,0)),"")</f>
        <v/>
      </c>
      <c r="D492" s="3">
        <v>12004.164983164983</v>
      </c>
      <c r="E492">
        <v>17500</v>
      </c>
    </row>
    <row r="493" spans="1:6" x14ac:dyDescent="0.25">
      <c r="A493">
        <f>IF(ISBLANK(B493),A492,IFERROR(INDEX(Reaches!$A$7:$A$60,MATCH(B493,Reaches!$B$7:$B$60,0)),-1))</f>
        <v>23</v>
      </c>
      <c r="C493" s="1" t="str">
        <f>IFERROR(INDEX(Reaches!$G$7:$G$60,MATCH(B493,Reaches!$B$7:$B$60,0)),"")</f>
        <v/>
      </c>
      <c r="D493" s="3">
        <v>13199.364983164984</v>
      </c>
      <c r="E493">
        <v>19300</v>
      </c>
    </row>
    <row r="494" spans="1:6" x14ac:dyDescent="0.25">
      <c r="A494">
        <f>IF(ISBLANK(B494),A493,IFERROR(INDEX(Reaches!$A$7:$A$60,MATCH(B494,Reaches!$B$7:$B$60,0)),-1))</f>
        <v>23</v>
      </c>
      <c r="C494" s="1" t="str">
        <f>IFERROR(INDEX(Reaches!$G$7:$G$60,MATCH(B494,Reaches!$B$7:$B$60,0)),"")</f>
        <v/>
      </c>
      <c r="D494" s="3">
        <v>16984.164983164985</v>
      </c>
      <c r="E494">
        <v>25000</v>
      </c>
    </row>
    <row r="495" spans="1:6" x14ac:dyDescent="0.25">
      <c r="A495">
        <f>IF(ISBLANK(B495),A494,IFERROR(INDEX(Reaches!$A$7:$A$60,MATCH(B495,Reaches!$B$7:$B$60,0)),-1))</f>
        <v>23</v>
      </c>
      <c r="C495" s="1" t="str">
        <f>IFERROR(INDEX(Reaches!$G$7:$G$60,MATCH(B495,Reaches!$B$7:$B$60,0)),"")</f>
        <v/>
      </c>
      <c r="D495" s="3">
        <v>119904.164983165</v>
      </c>
      <c r="E495">
        <v>180000</v>
      </c>
    </row>
    <row r="496" spans="1:6" x14ac:dyDescent="0.25">
      <c r="A496">
        <f>IF(ISBLANK(B496),A495,IFERROR(INDEX(Reaches!$A$7:$A$60,MATCH(B496,Reaches!$B$7:$B$60,0)),-1))</f>
        <v>24</v>
      </c>
      <c r="B496" t="s">
        <v>18</v>
      </c>
      <c r="C496" s="1">
        <f>IFERROR(INDEX(Reaches!$G$7:$G$60,MATCH(B496,Reaches!$B$7:$B$60,0)),"")</f>
        <v>2</v>
      </c>
      <c r="D496" s="3">
        <v>0</v>
      </c>
      <c r="E496">
        <v>0</v>
      </c>
      <c r="F496" t="s">
        <v>228</v>
      </c>
    </row>
    <row r="497" spans="1:5" x14ac:dyDescent="0.25">
      <c r="A497">
        <f>IF(ISBLANK(B497),A496,IFERROR(INDEX(Reaches!$A$7:$A$60,MATCH(B497,Reaches!$B$7:$B$60,0)),-1))</f>
        <v>24</v>
      </c>
      <c r="C497" s="1" t="str">
        <f>IFERROR(INDEX(Reaches!$G$7:$G$60,MATCH(B497,Reaches!$B$7:$B$60,0)),"")</f>
        <v/>
      </c>
      <c r="D497" s="3">
        <v>70</v>
      </c>
      <c r="E497">
        <v>50</v>
      </c>
    </row>
    <row r="498" spans="1:5" x14ac:dyDescent="0.25">
      <c r="A498">
        <f>IF(ISBLANK(B498),A497,IFERROR(INDEX(Reaches!$A$7:$A$60,MATCH(B498,Reaches!$B$7:$B$60,0)),-1))</f>
        <v>24</v>
      </c>
      <c r="C498" s="1" t="str">
        <f>IFERROR(INDEX(Reaches!$G$7:$G$60,MATCH(B498,Reaches!$B$7:$B$60,0)),"")</f>
        <v/>
      </c>
      <c r="D498" s="3">
        <v>109</v>
      </c>
      <c r="E498">
        <v>100</v>
      </c>
    </row>
    <row r="499" spans="1:5" x14ac:dyDescent="0.25">
      <c r="A499">
        <f>IF(ISBLANK(B499),A498,IFERROR(INDEX(Reaches!$A$7:$A$60,MATCH(B499,Reaches!$B$7:$B$60,0)),-1))</f>
        <v>24</v>
      </c>
      <c r="C499" s="1" t="str">
        <f>IFERROR(INDEX(Reaches!$G$7:$G$60,MATCH(B499,Reaches!$B$7:$B$60,0)),"")</f>
        <v/>
      </c>
      <c r="D499" s="3">
        <v>204</v>
      </c>
      <c r="E499">
        <v>250</v>
      </c>
    </row>
    <row r="500" spans="1:5" x14ac:dyDescent="0.25">
      <c r="A500">
        <f>IF(ISBLANK(B500),A499,IFERROR(INDEX(Reaches!$A$7:$A$60,MATCH(B500,Reaches!$B$7:$B$60,0)),-1))</f>
        <v>24</v>
      </c>
      <c r="C500" s="1" t="str">
        <f>IFERROR(INDEX(Reaches!$G$7:$G$60,MATCH(B500,Reaches!$B$7:$B$60,0)),"")</f>
        <v/>
      </c>
      <c r="D500" s="3">
        <v>330</v>
      </c>
      <c r="E500">
        <v>500</v>
      </c>
    </row>
    <row r="501" spans="1:5" x14ac:dyDescent="0.25">
      <c r="A501">
        <f>IF(ISBLANK(B501),A500,IFERROR(INDEX(Reaches!$A$7:$A$60,MATCH(B501,Reaches!$B$7:$B$60,0)),-1))</f>
        <v>24</v>
      </c>
      <c r="C501" s="1" t="str">
        <f>IFERROR(INDEX(Reaches!$G$7:$G$60,MATCH(B501,Reaches!$B$7:$B$60,0)),"")</f>
        <v/>
      </c>
      <c r="D501" s="3">
        <v>576</v>
      </c>
      <c r="E501">
        <v>1000</v>
      </c>
    </row>
    <row r="502" spans="1:5" x14ac:dyDescent="0.25">
      <c r="A502">
        <f>IF(ISBLANK(B502),A501,IFERROR(INDEX(Reaches!$A$7:$A$60,MATCH(B502,Reaches!$B$7:$B$60,0)),-1))</f>
        <v>24</v>
      </c>
      <c r="C502" s="1" t="str">
        <f>IFERROR(INDEX(Reaches!$G$7:$G$60,MATCH(B502,Reaches!$B$7:$B$60,0)),"")</f>
        <v/>
      </c>
      <c r="D502" s="3">
        <v>1096</v>
      </c>
      <c r="E502">
        <v>2000</v>
      </c>
    </row>
    <row r="503" spans="1:5" x14ac:dyDescent="0.25">
      <c r="A503">
        <f>IF(ISBLANK(B503),A502,IFERROR(INDEX(Reaches!$A$7:$A$60,MATCH(B503,Reaches!$B$7:$B$60,0)),-1))</f>
        <v>24</v>
      </c>
      <c r="C503" s="1" t="str">
        <f>IFERROR(INDEX(Reaches!$G$7:$G$60,MATCH(B503,Reaches!$B$7:$B$60,0)),"")</f>
        <v/>
      </c>
      <c r="D503" s="3">
        <v>1441.4545454545453</v>
      </c>
      <c r="E503">
        <v>3000</v>
      </c>
    </row>
    <row r="504" spans="1:5" x14ac:dyDescent="0.25">
      <c r="A504">
        <f>IF(ISBLANK(B504),A503,IFERROR(INDEX(Reaches!$A$7:$A$60,MATCH(B504,Reaches!$B$7:$B$60,0)),-1))</f>
        <v>24</v>
      </c>
      <c r="C504" s="1" t="str">
        <f>IFERROR(INDEX(Reaches!$G$7:$G$60,MATCH(B504,Reaches!$B$7:$B$60,0)),"")</f>
        <v/>
      </c>
      <c r="D504" s="3">
        <v>1821.4545454545453</v>
      </c>
      <c r="E504">
        <v>4000</v>
      </c>
    </row>
    <row r="505" spans="1:5" x14ac:dyDescent="0.25">
      <c r="A505">
        <f>IF(ISBLANK(B505),A504,IFERROR(INDEX(Reaches!$A$7:$A$60,MATCH(B505,Reaches!$B$7:$B$60,0)),-1))</f>
        <v>24</v>
      </c>
      <c r="C505" s="1" t="str">
        <f>IFERROR(INDEX(Reaches!$G$7:$G$60,MATCH(B505,Reaches!$B$7:$B$60,0)),"")</f>
        <v/>
      </c>
      <c r="D505" s="3">
        <v>2038.8145454545454</v>
      </c>
      <c r="E505">
        <v>4650</v>
      </c>
    </row>
    <row r="506" spans="1:5" x14ac:dyDescent="0.25">
      <c r="A506">
        <f>IF(ISBLANK(B506),A505,IFERROR(INDEX(Reaches!$A$7:$A$60,MATCH(B506,Reaches!$B$7:$B$60,0)),-1))</f>
        <v>24</v>
      </c>
      <c r="C506" s="1" t="str">
        <f>IFERROR(INDEX(Reaches!$G$7:$G$60,MATCH(B506,Reaches!$B$7:$B$60,0)),"")</f>
        <v/>
      </c>
      <c r="D506" s="3">
        <v>2323.0545454545459</v>
      </c>
      <c r="E506">
        <v>5500</v>
      </c>
    </row>
    <row r="507" spans="1:5" x14ac:dyDescent="0.25">
      <c r="A507">
        <f>IF(ISBLANK(B507),A506,IFERROR(INDEX(Reaches!$A$7:$A$60,MATCH(B507,Reaches!$B$7:$B$60,0)),-1))</f>
        <v>24</v>
      </c>
      <c r="C507" s="1" t="str">
        <f>IFERROR(INDEX(Reaches!$G$7:$G$60,MATCH(B507,Reaches!$B$7:$B$60,0)),"")</f>
        <v/>
      </c>
      <c r="D507" s="3">
        <v>2751.0865454545456</v>
      </c>
      <c r="E507">
        <v>6780</v>
      </c>
    </row>
    <row r="508" spans="1:5" x14ac:dyDescent="0.25">
      <c r="A508">
        <f>IF(ISBLANK(B508),A507,IFERROR(INDEX(Reaches!$A$7:$A$60,MATCH(B508,Reaches!$B$7:$B$60,0)),-1))</f>
        <v>24</v>
      </c>
      <c r="C508" s="1" t="str">
        <f>IFERROR(INDEX(Reaches!$G$7:$G$60,MATCH(B508,Reaches!$B$7:$B$60,0)),"")</f>
        <v/>
      </c>
      <c r="D508" s="3">
        <v>2991.8545454545456</v>
      </c>
      <c r="E508">
        <v>7500</v>
      </c>
    </row>
    <row r="509" spans="1:5" x14ac:dyDescent="0.25">
      <c r="A509">
        <f>IF(ISBLANK(B509),A508,IFERROR(INDEX(Reaches!$A$7:$A$60,MATCH(B509,Reaches!$B$7:$B$60,0)),-1))</f>
        <v>24</v>
      </c>
      <c r="C509" s="1" t="str">
        <f>IFERROR(INDEX(Reaches!$G$7:$G$60,MATCH(B509,Reaches!$B$7:$B$60,0)),"")</f>
        <v/>
      </c>
      <c r="D509" s="3">
        <v>3660.6545454545458</v>
      </c>
      <c r="E509">
        <v>9500</v>
      </c>
    </row>
    <row r="510" spans="1:5" x14ac:dyDescent="0.25">
      <c r="A510">
        <f>IF(ISBLANK(B510),A509,IFERROR(INDEX(Reaches!$A$7:$A$60,MATCH(B510,Reaches!$B$7:$B$60,0)),-1))</f>
        <v>24</v>
      </c>
      <c r="C510" s="1" t="str">
        <f>IFERROR(INDEX(Reaches!$G$7:$G$60,MATCH(B510,Reaches!$B$7:$B$60,0)),"")</f>
        <v/>
      </c>
      <c r="D510" s="3">
        <v>4329.454545454546</v>
      </c>
      <c r="E510">
        <v>11500</v>
      </c>
    </row>
    <row r="511" spans="1:5" x14ac:dyDescent="0.25">
      <c r="A511">
        <f>IF(ISBLANK(B511),A510,IFERROR(INDEX(Reaches!$A$7:$A$60,MATCH(B511,Reaches!$B$7:$B$60,0)),-1))</f>
        <v>24</v>
      </c>
      <c r="C511" s="1" t="str">
        <f>IFERROR(INDEX(Reaches!$G$7:$G$60,MATCH(B511,Reaches!$B$7:$B$60,0)),"")</f>
        <v/>
      </c>
      <c r="D511" s="3">
        <v>4998.2545454545443</v>
      </c>
      <c r="E511">
        <v>13500</v>
      </c>
    </row>
    <row r="512" spans="1:5" x14ac:dyDescent="0.25">
      <c r="A512">
        <f>IF(ISBLANK(B512),A511,IFERROR(INDEX(Reaches!$A$7:$A$60,MATCH(B512,Reaches!$B$7:$B$60,0)),-1))</f>
        <v>24</v>
      </c>
      <c r="C512" s="1" t="str">
        <f>IFERROR(INDEX(Reaches!$G$7:$G$60,MATCH(B512,Reaches!$B$7:$B$60,0)),"")</f>
        <v/>
      </c>
      <c r="D512" s="3">
        <v>5667.0545454545445</v>
      </c>
      <c r="E512">
        <v>15500</v>
      </c>
    </row>
    <row r="513" spans="1:6" x14ac:dyDescent="0.25">
      <c r="A513">
        <f>IF(ISBLANK(B513),A512,IFERROR(INDEX(Reaches!$A$7:$A$60,MATCH(B513,Reaches!$B$7:$B$60,0)),-1))</f>
        <v>24</v>
      </c>
      <c r="C513" s="1" t="str">
        <f>IFERROR(INDEX(Reaches!$G$7:$G$60,MATCH(B513,Reaches!$B$7:$B$60,0)),"")</f>
        <v/>
      </c>
      <c r="D513" s="3">
        <v>6335.8545454545447</v>
      </c>
      <c r="E513">
        <v>17500</v>
      </c>
    </row>
    <row r="514" spans="1:6" x14ac:dyDescent="0.25">
      <c r="A514">
        <f>IF(ISBLANK(B514),A513,IFERROR(INDEX(Reaches!$A$7:$A$60,MATCH(B514,Reaches!$B$7:$B$60,0)),-1))</f>
        <v>24</v>
      </c>
      <c r="C514" s="1" t="str">
        <f>IFERROR(INDEX(Reaches!$G$7:$G$60,MATCH(B514,Reaches!$B$7:$B$60,0)),"")</f>
        <v/>
      </c>
      <c r="D514" s="3">
        <v>6937.7745454545448</v>
      </c>
      <c r="E514">
        <v>19300</v>
      </c>
    </row>
    <row r="515" spans="1:6" x14ac:dyDescent="0.25">
      <c r="A515">
        <f>IF(ISBLANK(B515),A514,IFERROR(INDEX(Reaches!$A$7:$A$60,MATCH(B515,Reaches!$B$7:$B$60,0)),-1))</f>
        <v>24</v>
      </c>
      <c r="C515" s="1" t="str">
        <f>IFERROR(INDEX(Reaches!$G$7:$G$60,MATCH(B515,Reaches!$B$7:$B$60,0)),"")</f>
        <v/>
      </c>
      <c r="D515" s="3">
        <v>8843.8545454545456</v>
      </c>
      <c r="E515">
        <v>25000</v>
      </c>
    </row>
    <row r="516" spans="1:6" x14ac:dyDescent="0.25">
      <c r="A516">
        <f>IF(ISBLANK(B516),A515,IFERROR(INDEX(Reaches!$A$7:$A$60,MATCH(B516,Reaches!$B$7:$B$60,0)),-1))</f>
        <v>24</v>
      </c>
      <c r="C516" s="1" t="str">
        <f>IFERROR(INDEX(Reaches!$G$7:$G$60,MATCH(B516,Reaches!$B$7:$B$60,0)),"")</f>
        <v/>
      </c>
      <c r="D516" s="3">
        <v>60675.854545454553</v>
      </c>
      <c r="E516">
        <v>180000</v>
      </c>
    </row>
    <row r="517" spans="1:6" x14ac:dyDescent="0.25">
      <c r="A517">
        <f>IF(ISBLANK(B517),A516,IFERROR(INDEX(Reaches!$A$7:$A$60,MATCH(B517,Reaches!$B$7:$B$60,0)),-1))</f>
        <v>25</v>
      </c>
      <c r="B517" t="s">
        <v>37</v>
      </c>
      <c r="C517" s="1">
        <f>IFERROR(INDEX(Reaches!$G$7:$G$60,MATCH(B517,Reaches!$B$7:$B$60,0)),"")</f>
        <v>4</v>
      </c>
      <c r="D517" s="3">
        <v>0</v>
      </c>
      <c r="E517">
        <v>0</v>
      </c>
      <c r="F517" t="s">
        <v>228</v>
      </c>
    </row>
    <row r="518" spans="1:6" x14ac:dyDescent="0.25">
      <c r="A518">
        <f>IF(ISBLANK(B518),A517,IFERROR(INDEX(Reaches!$A$7:$A$60,MATCH(B518,Reaches!$B$7:$B$60,0)),-1))</f>
        <v>25</v>
      </c>
      <c r="C518" s="1" t="str">
        <f>IFERROR(INDEX(Reaches!$G$7:$G$60,MATCH(B518,Reaches!$B$7:$B$60,0)),"")</f>
        <v/>
      </c>
      <c r="D518" s="3">
        <v>2145</v>
      </c>
      <c r="E518">
        <v>2000</v>
      </c>
    </row>
    <row r="519" spans="1:6" x14ac:dyDescent="0.25">
      <c r="A519">
        <f>IF(ISBLANK(B519),A518,IFERROR(INDEX(Reaches!$A$7:$A$60,MATCH(B519,Reaches!$B$7:$B$60,0)),-1))</f>
        <v>25</v>
      </c>
      <c r="C519" s="1" t="str">
        <f>IFERROR(INDEX(Reaches!$G$7:$G$60,MATCH(B519,Reaches!$B$7:$B$60,0)),"")</f>
        <v/>
      </c>
      <c r="D519" s="3">
        <v>3977</v>
      </c>
      <c r="E519">
        <v>5500</v>
      </c>
    </row>
    <row r="520" spans="1:6" x14ac:dyDescent="0.25">
      <c r="A520">
        <f>IF(ISBLANK(B520),A519,IFERROR(INDEX(Reaches!$A$7:$A$60,MATCH(B520,Reaches!$B$7:$B$60,0)),-1))</f>
        <v>25</v>
      </c>
      <c r="C520" s="1" t="str">
        <f>IFERROR(INDEX(Reaches!$G$7:$G$60,MATCH(B520,Reaches!$B$7:$B$60,0)),"")</f>
        <v/>
      </c>
      <c r="D520" s="3">
        <v>7928.8000000000011</v>
      </c>
      <c r="E520">
        <v>12500</v>
      </c>
    </row>
    <row r="521" spans="1:6" x14ac:dyDescent="0.25">
      <c r="A521">
        <f>IF(ISBLANK(B521),A520,IFERROR(INDEX(Reaches!$A$7:$A$60,MATCH(B521,Reaches!$B$7:$B$60,0)),-1))</f>
        <v>25</v>
      </c>
      <c r="C521" s="1" t="str">
        <f>IFERROR(INDEX(Reaches!$G$7:$G$60,MATCH(B521,Reaches!$B$7:$B$60,0)),"")</f>
        <v/>
      </c>
      <c r="D521" s="3">
        <v>11865.7</v>
      </c>
      <c r="E521">
        <v>20000</v>
      </c>
    </row>
    <row r="522" spans="1:6" x14ac:dyDescent="0.25">
      <c r="A522">
        <f>IF(ISBLANK(B522),A521,IFERROR(INDEX(Reaches!$A$7:$A$60,MATCH(B522,Reaches!$B$7:$B$60,0)),-1))</f>
        <v>25</v>
      </c>
      <c r="C522" s="1" t="str">
        <f>IFERROR(INDEX(Reaches!$G$7:$G$60,MATCH(B522,Reaches!$B$7:$B$60,0)),"")</f>
        <v/>
      </c>
      <c r="D522" s="3">
        <v>16373.500000000002</v>
      </c>
      <c r="E522">
        <v>28000</v>
      </c>
    </row>
    <row r="523" spans="1:6" x14ac:dyDescent="0.25">
      <c r="A523">
        <f>IF(ISBLANK(B523),A522,IFERROR(INDEX(Reaches!$A$7:$A$60,MATCH(B523,Reaches!$B$7:$B$60,0)),-1))</f>
        <v>25</v>
      </c>
      <c r="C523" s="1" t="str">
        <f>IFERROR(INDEX(Reaches!$G$7:$G$60,MATCH(B523,Reaches!$B$7:$B$60,0)),"")</f>
        <v/>
      </c>
      <c r="D523" s="3">
        <v>21912</v>
      </c>
      <c r="E523">
        <v>36000</v>
      </c>
    </row>
    <row r="524" spans="1:6" x14ac:dyDescent="0.25">
      <c r="A524">
        <f>IF(ISBLANK(B524),A523,IFERROR(INDEX(Reaches!$A$7:$A$60,MATCH(B524,Reaches!$B$7:$B$60,0)),-1))</f>
        <v>25</v>
      </c>
      <c r="C524" s="1" t="str">
        <f>IFERROR(INDEX(Reaches!$G$7:$G$60,MATCH(B524,Reaches!$B$7:$B$60,0)),"")</f>
        <v/>
      </c>
      <c r="D524" s="3">
        <v>28433.9</v>
      </c>
      <c r="E524">
        <v>45000</v>
      </c>
    </row>
    <row r="525" spans="1:6" x14ac:dyDescent="0.25">
      <c r="A525">
        <f>IF(ISBLANK(B525),A524,IFERROR(INDEX(Reaches!$A$7:$A$60,MATCH(B525,Reaches!$B$7:$B$60,0)),-1))</f>
        <v>25</v>
      </c>
      <c r="C525" s="1" t="str">
        <f>IFERROR(INDEX(Reaches!$G$7:$G$60,MATCH(B525,Reaches!$B$7:$B$60,0)),"")</f>
        <v/>
      </c>
      <c r="D525" s="3">
        <v>36669.600000000006</v>
      </c>
      <c r="E525">
        <v>55000</v>
      </c>
    </row>
    <row r="526" spans="1:6" x14ac:dyDescent="0.25">
      <c r="A526">
        <f>IF(ISBLANK(B526),A525,IFERROR(INDEX(Reaches!$A$7:$A$60,MATCH(B526,Reaches!$B$7:$B$60,0)),-1))</f>
        <v>25</v>
      </c>
      <c r="C526" s="1" t="str">
        <f>IFERROR(INDEX(Reaches!$G$7:$G$60,MATCH(B526,Reaches!$B$7:$B$60,0)),"")</f>
        <v/>
      </c>
      <c r="D526" s="3">
        <v>46581.700000000004</v>
      </c>
      <c r="E526">
        <v>65000</v>
      </c>
    </row>
    <row r="527" spans="1:6" x14ac:dyDescent="0.25">
      <c r="A527">
        <f>IF(ISBLANK(B527),A526,IFERROR(INDEX(Reaches!$A$7:$A$60,MATCH(B527,Reaches!$B$7:$B$60,0)),-1))</f>
        <v>25</v>
      </c>
      <c r="C527" s="1" t="str">
        <f>IFERROR(INDEX(Reaches!$G$7:$G$60,MATCH(B527,Reaches!$B$7:$B$60,0)),"")</f>
        <v/>
      </c>
      <c r="D527" s="3">
        <v>56289</v>
      </c>
      <c r="E527">
        <v>72000</v>
      </c>
    </row>
    <row r="528" spans="1:6" x14ac:dyDescent="0.25">
      <c r="A528">
        <f>IF(ISBLANK(B528),A527,IFERROR(INDEX(Reaches!$A$7:$A$60,MATCH(B528,Reaches!$B$7:$B$60,0)),-1))</f>
        <v>25</v>
      </c>
      <c r="C528" s="1" t="str">
        <f>IFERROR(INDEX(Reaches!$G$7:$G$60,MATCH(B528,Reaches!$B$7:$B$60,0)),"")</f>
        <v/>
      </c>
      <c r="D528" s="3">
        <v>74566</v>
      </c>
      <c r="E528">
        <v>90000</v>
      </c>
    </row>
    <row r="529" spans="1:5" x14ac:dyDescent="0.25">
      <c r="A529">
        <f>IF(ISBLANK(B529),A528,IFERROR(INDEX(Reaches!$A$7:$A$60,MATCH(B529,Reaches!$B$7:$B$60,0)),-1))</f>
        <v>25</v>
      </c>
      <c r="C529" s="1" t="str">
        <f>IFERROR(INDEX(Reaches!$G$7:$G$60,MATCH(B529,Reaches!$B$7:$B$60,0)),"")</f>
        <v/>
      </c>
      <c r="D529" s="3">
        <v>91212</v>
      </c>
      <c r="E529">
        <v>110000</v>
      </c>
    </row>
    <row r="530" spans="1:5" x14ac:dyDescent="0.25">
      <c r="A530">
        <f>IF(ISBLANK(B530),A529,IFERROR(INDEX(Reaches!$A$7:$A$60,MATCH(B530,Reaches!$B$7:$B$60,0)),-1))</f>
        <v>25</v>
      </c>
      <c r="C530" s="1" t="str">
        <f>IFERROR(INDEX(Reaches!$G$7:$G$60,MATCH(B530,Reaches!$B$7:$B$60,0)),"")</f>
        <v/>
      </c>
      <c r="D530" s="3">
        <v>108992</v>
      </c>
      <c r="E530">
        <v>130000</v>
      </c>
    </row>
    <row r="531" spans="1:5" x14ac:dyDescent="0.25">
      <c r="A531">
        <f>IF(ISBLANK(B531),A530,IFERROR(INDEX(Reaches!$A$7:$A$60,MATCH(B531,Reaches!$B$7:$B$60,0)),-1))</f>
        <v>25</v>
      </c>
      <c r="C531" s="1" t="str">
        <f>IFERROR(INDEX(Reaches!$G$7:$G$60,MATCH(B531,Reaches!$B$7:$B$60,0)),"")</f>
        <v/>
      </c>
      <c r="D531" s="3">
        <v>126085</v>
      </c>
      <c r="E531">
        <v>150000</v>
      </c>
    </row>
    <row r="532" spans="1:5" x14ac:dyDescent="0.25">
      <c r="A532">
        <f>IF(ISBLANK(B532),A531,IFERROR(INDEX(Reaches!$A$7:$A$60,MATCH(B532,Reaches!$B$7:$B$60,0)),-1))</f>
        <v>25</v>
      </c>
      <c r="C532" s="1" t="str">
        <f>IFERROR(INDEX(Reaches!$G$7:$G$60,MATCH(B532,Reaches!$B$7:$B$60,0)),"")</f>
        <v/>
      </c>
      <c r="D532" s="3">
        <v>148260</v>
      </c>
      <c r="E532">
        <v>175000</v>
      </c>
    </row>
    <row r="533" spans="1:5" x14ac:dyDescent="0.25">
      <c r="A533">
        <f>IF(ISBLANK(B533),A532,IFERROR(INDEX(Reaches!$A$7:$A$60,MATCH(B533,Reaches!$B$7:$B$60,0)),-1))</f>
        <v>25</v>
      </c>
      <c r="C533" s="1" t="str">
        <f>IFERROR(INDEX(Reaches!$G$7:$G$60,MATCH(B533,Reaches!$B$7:$B$60,0)),"")</f>
        <v/>
      </c>
      <c r="D533" s="3">
        <v>165901</v>
      </c>
      <c r="E533">
        <v>200000</v>
      </c>
    </row>
    <row r="534" spans="1:5" x14ac:dyDescent="0.25">
      <c r="A534">
        <f>IF(ISBLANK(B534),A533,IFERROR(INDEX(Reaches!$A$7:$A$60,MATCH(B534,Reaches!$B$7:$B$60,0)),-1))</f>
        <v>25</v>
      </c>
      <c r="C534" s="1" t="str">
        <f>IFERROR(INDEX(Reaches!$G$7:$G$60,MATCH(B534,Reaches!$B$7:$B$60,0)),"")</f>
        <v/>
      </c>
      <c r="D534" s="3">
        <v>176750</v>
      </c>
      <c r="E534">
        <v>220000</v>
      </c>
    </row>
    <row r="535" spans="1:5" x14ac:dyDescent="0.25">
      <c r="A535">
        <f>IF(ISBLANK(B535),A534,IFERROR(INDEX(Reaches!$A$7:$A$60,MATCH(B535,Reaches!$B$7:$B$60,0)),-1))</f>
        <v>25</v>
      </c>
      <c r="C535" s="1" t="str">
        <f>IFERROR(INDEX(Reaches!$G$7:$G$60,MATCH(B535,Reaches!$B$7:$B$60,0)),"")</f>
        <v/>
      </c>
      <c r="D535" s="3">
        <v>189013</v>
      </c>
      <c r="E535">
        <v>235000</v>
      </c>
    </row>
    <row r="536" spans="1:5" x14ac:dyDescent="0.25">
      <c r="A536">
        <f>IF(ISBLANK(B536),A535,IFERROR(INDEX(Reaches!$A$7:$A$60,MATCH(B536,Reaches!$B$7:$B$60,0)),-1))</f>
        <v>25</v>
      </c>
      <c r="C536" s="1" t="str">
        <f>IFERROR(INDEX(Reaches!$G$7:$G$60,MATCH(B536,Reaches!$B$7:$B$60,0)),"")</f>
        <v/>
      </c>
      <c r="D536" s="3">
        <v>254108</v>
      </c>
      <c r="E536">
        <v>340000</v>
      </c>
    </row>
    <row r="537" spans="1:5" x14ac:dyDescent="0.25">
      <c r="A537">
        <f>IF(ISBLANK(B537),A536,IFERROR(INDEX(Reaches!$A$7:$A$60,MATCH(B537,Reaches!$B$7:$B$60,0)),-1))</f>
        <v>25</v>
      </c>
      <c r="C537" s="1" t="str">
        <f>IFERROR(INDEX(Reaches!$G$7:$G$60,MATCH(B537,Reaches!$B$7:$B$60,0)),"")</f>
        <v/>
      </c>
      <c r="D537" s="3">
        <v>323823</v>
      </c>
      <c r="E537">
        <v>480000</v>
      </c>
    </row>
    <row r="538" spans="1:5" x14ac:dyDescent="0.25">
      <c r="A538">
        <f>IF(ISBLANK(B538),A537,IFERROR(INDEX(Reaches!$A$7:$A$60,MATCH(B538,Reaches!$B$7:$B$60,0)),-1))</f>
        <v>25</v>
      </c>
      <c r="C538" s="1"/>
      <c r="D538">
        <f>ROUND(D537+(E538-E537)*(D537-D536)/(E537-E536),0)</f>
        <v>1080729</v>
      </c>
      <c r="E538">
        <v>2000000</v>
      </c>
    </row>
    <row r="539" spans="1:5" x14ac:dyDescent="0.25">
      <c r="A539">
        <f>IF(ISBLANK(B539),A538,IFERROR(INDEX(Reaches!$A$7:$A$60,MATCH(B539,Reaches!$B$7:$B$60,0)),-1))</f>
        <v>27</v>
      </c>
      <c r="B539" t="s">
        <v>35</v>
      </c>
      <c r="C539" s="1">
        <f>IFERROR(INDEX(Reaches!$G$7:$G$60,MATCH(B539,Reaches!$B$7:$B$60,0)),"")</f>
        <v>3</v>
      </c>
      <c r="D539" s="3">
        <v>0</v>
      </c>
      <c r="E539">
        <v>0</v>
      </c>
    </row>
    <row r="540" spans="1:5" x14ac:dyDescent="0.25">
      <c r="A540">
        <f>IF(ISBLANK(B540),A539,IFERROR(INDEX(Reaches!$A$7:$A$60,MATCH(B540,Reaches!$B$7:$B$60,0)),-1))</f>
        <v>27</v>
      </c>
      <c r="C540" s="1" t="str">
        <f>IFERROR(INDEX(Reaches!$G$7:$G$60,MATCH(B540,Reaches!$B$7:$B$60,0)),"")</f>
        <v/>
      </c>
      <c r="D540" s="3">
        <v>2039</v>
      </c>
      <c r="E540">
        <v>2000</v>
      </c>
    </row>
    <row r="541" spans="1:5" x14ac:dyDescent="0.25">
      <c r="A541">
        <f>IF(ISBLANK(B541),A540,IFERROR(INDEX(Reaches!$A$7:$A$60,MATCH(B541,Reaches!$B$7:$B$60,0)),-1))</f>
        <v>27</v>
      </c>
      <c r="C541" s="1" t="str">
        <f>IFERROR(INDEX(Reaches!$G$7:$G$60,MATCH(B541,Reaches!$B$7:$B$60,0)),"")</f>
        <v/>
      </c>
      <c r="D541" s="3">
        <v>3460</v>
      </c>
      <c r="E541">
        <v>6000</v>
      </c>
    </row>
    <row r="542" spans="1:5" x14ac:dyDescent="0.25">
      <c r="A542">
        <f>IF(ISBLANK(B542),A541,IFERROR(INDEX(Reaches!$A$7:$A$60,MATCH(B542,Reaches!$B$7:$B$60,0)),-1))</f>
        <v>27</v>
      </c>
      <c r="C542" s="1" t="str">
        <f>IFERROR(INDEX(Reaches!$G$7:$G$60,MATCH(B542,Reaches!$B$7:$B$60,0)),"")</f>
        <v/>
      </c>
      <c r="D542" s="3">
        <v>5509</v>
      </c>
      <c r="E542">
        <v>14000</v>
      </c>
    </row>
    <row r="543" spans="1:5" x14ac:dyDescent="0.25">
      <c r="A543">
        <f>IF(ISBLANK(B543),A542,IFERROR(INDEX(Reaches!$A$7:$A$60,MATCH(B543,Reaches!$B$7:$B$60,0)),-1))</f>
        <v>27</v>
      </c>
      <c r="C543" s="1" t="str">
        <f>IFERROR(INDEX(Reaches!$G$7:$G$60,MATCH(B543,Reaches!$B$7:$B$60,0)),"")</f>
        <v/>
      </c>
      <c r="D543" s="3">
        <v>7417</v>
      </c>
      <c r="E543">
        <v>22000</v>
      </c>
    </row>
    <row r="544" spans="1:5" x14ac:dyDescent="0.25">
      <c r="A544">
        <f>IF(ISBLANK(B544),A543,IFERROR(INDEX(Reaches!$A$7:$A$60,MATCH(B544,Reaches!$B$7:$B$60,0)),-1))</f>
        <v>27</v>
      </c>
      <c r="C544" s="1" t="str">
        <f>IFERROR(INDEX(Reaches!$G$7:$G$60,MATCH(B544,Reaches!$B$7:$B$60,0)),"")</f>
        <v/>
      </c>
      <c r="D544" s="3">
        <v>9524</v>
      </c>
      <c r="E544">
        <v>30000</v>
      </c>
    </row>
    <row r="545" spans="1:5" x14ac:dyDescent="0.25">
      <c r="A545">
        <f>IF(ISBLANK(B545),A544,IFERROR(INDEX(Reaches!$A$7:$A$60,MATCH(B545,Reaches!$B$7:$B$60,0)),-1))</f>
        <v>27</v>
      </c>
      <c r="C545" s="1" t="str">
        <f>IFERROR(INDEX(Reaches!$G$7:$G$60,MATCH(B545,Reaches!$B$7:$B$60,0)),"")</f>
        <v/>
      </c>
      <c r="D545" s="3">
        <v>12270</v>
      </c>
      <c r="E545">
        <v>39000</v>
      </c>
    </row>
    <row r="546" spans="1:5" x14ac:dyDescent="0.25">
      <c r="A546">
        <f>IF(ISBLANK(B546),A545,IFERROR(INDEX(Reaches!$A$7:$A$60,MATCH(B546,Reaches!$B$7:$B$60,0)),-1))</f>
        <v>27</v>
      </c>
      <c r="C546" s="1" t="str">
        <f>IFERROR(INDEX(Reaches!$G$7:$G$60,MATCH(B546,Reaches!$B$7:$B$60,0)),"")</f>
        <v/>
      </c>
      <c r="D546" s="3">
        <v>15990</v>
      </c>
      <c r="E546">
        <v>49000</v>
      </c>
    </row>
    <row r="547" spans="1:5" x14ac:dyDescent="0.25">
      <c r="A547">
        <f>IF(ISBLANK(B547),A546,IFERROR(INDEX(Reaches!$A$7:$A$60,MATCH(B547,Reaches!$B$7:$B$60,0)),-1))</f>
        <v>27</v>
      </c>
      <c r="C547" s="1" t="str">
        <f>IFERROR(INDEX(Reaches!$G$7:$G$60,MATCH(B547,Reaches!$B$7:$B$60,0)),"")</f>
        <v/>
      </c>
      <c r="D547" s="3">
        <v>21001</v>
      </c>
      <c r="E547">
        <v>60000</v>
      </c>
    </row>
    <row r="548" spans="1:5" x14ac:dyDescent="0.25">
      <c r="A548">
        <f>IF(ISBLANK(B548),A547,IFERROR(INDEX(Reaches!$A$7:$A$60,MATCH(B548,Reaches!$B$7:$B$60,0)),-1))</f>
        <v>27</v>
      </c>
      <c r="C548" s="1" t="str">
        <f>IFERROR(INDEX(Reaches!$G$7:$G$60,MATCH(B548,Reaches!$B$7:$B$60,0)),"")</f>
        <v/>
      </c>
      <c r="D548" s="3">
        <v>26674</v>
      </c>
      <c r="E548">
        <v>70000</v>
      </c>
    </row>
    <row r="549" spans="1:5" x14ac:dyDescent="0.25">
      <c r="A549">
        <f>IF(ISBLANK(B549),A548,IFERROR(INDEX(Reaches!$A$7:$A$60,MATCH(B549,Reaches!$B$7:$B$60,0)),-1))</f>
        <v>27</v>
      </c>
      <c r="C549" s="1" t="str">
        <f>IFERROR(INDEX(Reaches!$G$7:$G$60,MATCH(B549,Reaches!$B$7:$B$60,0)),"")</f>
        <v/>
      </c>
      <c r="D549" s="3">
        <v>32051</v>
      </c>
      <c r="E549">
        <v>80000</v>
      </c>
    </row>
    <row r="550" spans="1:5" x14ac:dyDescent="0.25">
      <c r="A550">
        <f>IF(ISBLANK(B550),A549,IFERROR(INDEX(Reaches!$A$7:$A$60,MATCH(B550,Reaches!$B$7:$B$60,0)),-1))</f>
        <v>27</v>
      </c>
      <c r="C550" s="1" t="str">
        <f>IFERROR(INDEX(Reaches!$G$7:$G$60,MATCH(B550,Reaches!$B$7:$B$60,0)),"")</f>
        <v/>
      </c>
      <c r="D550" s="3">
        <v>42853</v>
      </c>
      <c r="E550">
        <v>95000</v>
      </c>
    </row>
    <row r="551" spans="1:5" x14ac:dyDescent="0.25">
      <c r="A551">
        <f>IF(ISBLANK(B551),A550,IFERROR(INDEX(Reaches!$A$7:$A$60,MATCH(B551,Reaches!$B$7:$B$60,0)),-1))</f>
        <v>27</v>
      </c>
      <c r="C551" s="1" t="str">
        <f>IFERROR(INDEX(Reaches!$G$7:$G$60,MATCH(B551,Reaches!$B$7:$B$60,0)),"")</f>
        <v/>
      </c>
      <c r="D551" s="3">
        <v>58062</v>
      </c>
      <c r="E551">
        <v>115000</v>
      </c>
    </row>
    <row r="552" spans="1:5" x14ac:dyDescent="0.25">
      <c r="A552">
        <f>IF(ISBLANK(B552),A551,IFERROR(INDEX(Reaches!$A$7:$A$60,MATCH(B552,Reaches!$B$7:$B$60,0)),-1))</f>
        <v>27</v>
      </c>
      <c r="C552" s="1" t="str">
        <f>IFERROR(INDEX(Reaches!$G$7:$G$60,MATCH(B552,Reaches!$B$7:$B$60,0)),"")</f>
        <v/>
      </c>
      <c r="D552" s="3">
        <v>74352</v>
      </c>
      <c r="E552">
        <v>135000</v>
      </c>
    </row>
    <row r="553" spans="1:5" x14ac:dyDescent="0.25">
      <c r="A553">
        <f>IF(ISBLANK(B553),A552,IFERROR(INDEX(Reaches!$A$7:$A$60,MATCH(B553,Reaches!$B$7:$B$60,0)),-1))</f>
        <v>27</v>
      </c>
      <c r="C553" s="1" t="str">
        <f>IFERROR(INDEX(Reaches!$G$7:$G$60,MATCH(B553,Reaches!$B$7:$B$60,0)),"")</f>
        <v/>
      </c>
      <c r="D553" s="3">
        <v>90780</v>
      </c>
      <c r="E553">
        <v>155000</v>
      </c>
    </row>
    <row r="554" spans="1:5" x14ac:dyDescent="0.25">
      <c r="A554">
        <f>IF(ISBLANK(B554),A553,IFERROR(INDEX(Reaches!$A$7:$A$60,MATCH(B554,Reaches!$B$7:$B$60,0)),-1))</f>
        <v>27</v>
      </c>
      <c r="C554" s="1" t="str">
        <f>IFERROR(INDEX(Reaches!$G$7:$G$60,MATCH(B554,Reaches!$B$7:$B$60,0)),"")</f>
        <v/>
      </c>
      <c r="D554" s="3">
        <v>110934</v>
      </c>
      <c r="E554">
        <v>180000</v>
      </c>
    </row>
    <row r="555" spans="1:5" x14ac:dyDescent="0.25">
      <c r="A555">
        <f>IF(ISBLANK(B555),A554,IFERROR(INDEX(Reaches!$A$7:$A$60,MATCH(B555,Reaches!$B$7:$B$60,0)),-1))</f>
        <v>27</v>
      </c>
      <c r="C555" s="1" t="str">
        <f>IFERROR(INDEX(Reaches!$G$7:$G$60,MATCH(B555,Reaches!$B$7:$B$60,0)),"")</f>
        <v/>
      </c>
      <c r="D555" s="3">
        <v>129286</v>
      </c>
      <c r="E555">
        <v>205000</v>
      </c>
    </row>
    <row r="556" spans="1:5" x14ac:dyDescent="0.25">
      <c r="A556">
        <f>IF(ISBLANK(B556),A555,IFERROR(INDEX(Reaches!$A$7:$A$60,MATCH(B556,Reaches!$B$7:$B$60,0)),-1))</f>
        <v>27</v>
      </c>
      <c r="C556" s="1" t="str">
        <f>IFERROR(INDEX(Reaches!$G$7:$G$60,MATCH(B556,Reaches!$B$7:$B$60,0)),"")</f>
        <v/>
      </c>
      <c r="D556" s="3">
        <v>142889</v>
      </c>
      <c r="E556">
        <v>225000</v>
      </c>
    </row>
    <row r="557" spans="1:5" x14ac:dyDescent="0.25">
      <c r="A557">
        <f>IF(ISBLANK(B557),A556,IFERROR(INDEX(Reaches!$A$7:$A$60,MATCH(B557,Reaches!$B$7:$B$60,0)),-1))</f>
        <v>27</v>
      </c>
      <c r="C557" s="1" t="str">
        <f>IFERROR(INDEX(Reaches!$G$7:$G$60,MATCH(B557,Reaches!$B$7:$B$60,0)),"")</f>
        <v/>
      </c>
      <c r="D557" s="3">
        <v>153192</v>
      </c>
      <c r="E557">
        <v>240000</v>
      </c>
    </row>
    <row r="558" spans="1:5" x14ac:dyDescent="0.25">
      <c r="A558">
        <f>IF(ISBLANK(B558),A557,IFERROR(INDEX(Reaches!$A$7:$A$60,MATCH(B558,Reaches!$B$7:$B$60,0)),-1))</f>
        <v>27</v>
      </c>
      <c r="C558" s="1" t="str">
        <f>IFERROR(INDEX(Reaches!$G$7:$G$60,MATCH(B558,Reaches!$B$7:$B$60,0)),"")</f>
        <v/>
      </c>
      <c r="D558" s="3">
        <v>217193</v>
      </c>
      <c r="E558">
        <v>340000</v>
      </c>
    </row>
    <row r="559" spans="1:5" x14ac:dyDescent="0.25">
      <c r="A559">
        <f>IF(ISBLANK(B559),A558,IFERROR(INDEX(Reaches!$A$7:$A$60,MATCH(B559,Reaches!$B$7:$B$60,0)),-1))</f>
        <v>27</v>
      </c>
      <c r="C559" s="1" t="str">
        <f>IFERROR(INDEX(Reaches!$G$7:$G$60,MATCH(B559,Reaches!$B$7:$B$60,0)),"")</f>
        <v/>
      </c>
      <c r="D559" s="3">
        <v>302782</v>
      </c>
      <c r="E559">
        <v>480000</v>
      </c>
    </row>
    <row r="560" spans="1:5" x14ac:dyDescent="0.25">
      <c r="A560">
        <f>IF(ISBLANK(B560),A559,IFERROR(INDEX(Reaches!$A$7:$A$60,MATCH(B560,Reaches!$B$7:$B$60,0)),-1))</f>
        <v>27</v>
      </c>
      <c r="C560" s="1"/>
      <c r="D560">
        <f>ROUND(D559+(E560-E559)*(D559-D558)/(E559-E558),0)</f>
        <v>1232034</v>
      </c>
      <c r="E560">
        <v>2000000</v>
      </c>
    </row>
    <row r="561" spans="1:5" x14ac:dyDescent="0.25">
      <c r="A561">
        <f>IF(ISBLANK(B561),A560,IFERROR(INDEX(Reaches!$A$7:$A$60,MATCH(B561,Reaches!$B$7:$B$60,0)),-1))</f>
        <v>28</v>
      </c>
      <c r="B561" t="s">
        <v>33</v>
      </c>
      <c r="C561" s="1">
        <f>IFERROR(INDEX(Reaches!$G$7:$G$60,MATCH(B561,Reaches!$B$7:$B$60,0)),"")</f>
        <v>1</v>
      </c>
      <c r="D561" s="3">
        <v>0</v>
      </c>
      <c r="E561">
        <v>0</v>
      </c>
    </row>
    <row r="562" spans="1:5" x14ac:dyDescent="0.25">
      <c r="A562">
        <f>IF(ISBLANK(B562),A561,IFERROR(INDEX(Reaches!$A$7:$A$60,MATCH(B562,Reaches!$B$7:$B$60,0)),-1))</f>
        <v>28</v>
      </c>
      <c r="C562" s="1" t="str">
        <f>IFERROR(INDEX(Reaches!$G$7:$G$60,MATCH(B562,Reaches!$B$7:$B$60,0)),"")</f>
        <v/>
      </c>
      <c r="D562" s="3">
        <v>2175</v>
      </c>
      <c r="E562">
        <v>2000</v>
      </c>
    </row>
    <row r="563" spans="1:5" x14ac:dyDescent="0.25">
      <c r="A563">
        <f>IF(ISBLANK(B563),A562,IFERROR(INDEX(Reaches!$A$7:$A$60,MATCH(B563,Reaches!$B$7:$B$60,0)),-1))</f>
        <v>28</v>
      </c>
      <c r="C563" s="1" t="str">
        <f>IFERROR(INDEX(Reaches!$G$7:$G$60,MATCH(B563,Reaches!$B$7:$B$60,0)),"")</f>
        <v/>
      </c>
      <c r="D563" s="3">
        <v>3962</v>
      </c>
      <c r="E563">
        <v>6000</v>
      </c>
    </row>
    <row r="564" spans="1:5" x14ac:dyDescent="0.25">
      <c r="A564">
        <f>IF(ISBLANK(B564),A563,IFERROR(INDEX(Reaches!$A$7:$A$60,MATCH(B564,Reaches!$B$7:$B$60,0)),-1))</f>
        <v>28</v>
      </c>
      <c r="C564" s="1" t="str">
        <f>IFERROR(INDEX(Reaches!$G$7:$G$60,MATCH(B564,Reaches!$B$7:$B$60,0)),"")</f>
        <v/>
      </c>
      <c r="D564" s="3">
        <v>6655</v>
      </c>
      <c r="E564">
        <v>14000</v>
      </c>
    </row>
    <row r="565" spans="1:5" x14ac:dyDescent="0.25">
      <c r="A565">
        <f>IF(ISBLANK(B565),A564,IFERROR(INDEX(Reaches!$A$7:$A$60,MATCH(B565,Reaches!$B$7:$B$60,0)),-1))</f>
        <v>28</v>
      </c>
      <c r="C565" s="1" t="str">
        <f>IFERROR(INDEX(Reaches!$G$7:$G$60,MATCH(B565,Reaches!$B$7:$B$60,0)),"")</f>
        <v/>
      </c>
      <c r="D565" s="3">
        <v>9085</v>
      </c>
      <c r="E565">
        <v>22000</v>
      </c>
    </row>
    <row r="566" spans="1:5" x14ac:dyDescent="0.25">
      <c r="A566">
        <f>IF(ISBLANK(B566),A565,IFERROR(INDEX(Reaches!$A$7:$A$60,MATCH(B566,Reaches!$B$7:$B$60,0)),-1))</f>
        <v>28</v>
      </c>
      <c r="C566" s="1" t="str">
        <f>IFERROR(INDEX(Reaches!$G$7:$G$60,MATCH(B566,Reaches!$B$7:$B$60,0)),"")</f>
        <v/>
      </c>
      <c r="D566" s="3">
        <v>11818</v>
      </c>
      <c r="E566">
        <v>30000</v>
      </c>
    </row>
    <row r="567" spans="1:5" x14ac:dyDescent="0.25">
      <c r="A567">
        <f>IF(ISBLANK(B567),A566,IFERROR(INDEX(Reaches!$A$7:$A$60,MATCH(B567,Reaches!$B$7:$B$60,0)),-1))</f>
        <v>28</v>
      </c>
      <c r="C567" s="1" t="str">
        <f>IFERROR(INDEX(Reaches!$G$7:$G$60,MATCH(B567,Reaches!$B$7:$B$60,0)),"")</f>
        <v/>
      </c>
      <c r="D567" s="3">
        <v>15578</v>
      </c>
      <c r="E567">
        <v>39000</v>
      </c>
    </row>
    <row r="568" spans="1:5" x14ac:dyDescent="0.25">
      <c r="A568">
        <f>IF(ISBLANK(B568),A567,IFERROR(INDEX(Reaches!$A$7:$A$60,MATCH(B568,Reaches!$B$7:$B$60,0)),-1))</f>
        <v>28</v>
      </c>
      <c r="C568" s="1" t="str">
        <f>IFERROR(INDEX(Reaches!$G$7:$G$60,MATCH(B568,Reaches!$B$7:$B$60,0)),"")</f>
        <v/>
      </c>
      <c r="D568" s="3">
        <v>21058</v>
      </c>
      <c r="E568">
        <v>49000</v>
      </c>
    </row>
    <row r="569" spans="1:5" x14ac:dyDescent="0.25">
      <c r="A569">
        <f>IF(ISBLANK(B569),A568,IFERROR(INDEX(Reaches!$A$7:$A$60,MATCH(B569,Reaches!$B$7:$B$60,0)),-1))</f>
        <v>28</v>
      </c>
      <c r="C569" s="1" t="str">
        <f>IFERROR(INDEX(Reaches!$G$7:$G$60,MATCH(B569,Reaches!$B$7:$B$60,0)),"")</f>
        <v/>
      </c>
      <c r="D569" s="3">
        <v>26336</v>
      </c>
      <c r="E569">
        <v>60000</v>
      </c>
    </row>
    <row r="570" spans="1:5" x14ac:dyDescent="0.25">
      <c r="A570">
        <f>IF(ISBLANK(B570),A569,IFERROR(INDEX(Reaches!$A$7:$A$60,MATCH(B570,Reaches!$B$7:$B$60,0)),-1))</f>
        <v>28</v>
      </c>
      <c r="C570" s="1" t="str">
        <f>IFERROR(INDEX(Reaches!$G$7:$G$60,MATCH(B570,Reaches!$B$7:$B$60,0)),"")</f>
        <v/>
      </c>
      <c r="D570" s="3">
        <v>31578</v>
      </c>
      <c r="E570">
        <v>70000</v>
      </c>
    </row>
    <row r="571" spans="1:5" x14ac:dyDescent="0.25">
      <c r="A571">
        <f>IF(ISBLANK(B571),A570,IFERROR(INDEX(Reaches!$A$7:$A$60,MATCH(B571,Reaches!$B$7:$B$60,0)),-1))</f>
        <v>28</v>
      </c>
      <c r="C571" s="1" t="str">
        <f>IFERROR(INDEX(Reaches!$G$7:$G$60,MATCH(B571,Reaches!$B$7:$B$60,0)),"")</f>
        <v/>
      </c>
      <c r="D571" s="3">
        <v>37437</v>
      </c>
      <c r="E571">
        <v>80000</v>
      </c>
    </row>
    <row r="572" spans="1:5" x14ac:dyDescent="0.25">
      <c r="A572">
        <f>IF(ISBLANK(B572),A571,IFERROR(INDEX(Reaches!$A$7:$A$60,MATCH(B572,Reaches!$B$7:$B$60,0)),-1))</f>
        <v>28</v>
      </c>
      <c r="C572" s="1" t="str">
        <f>IFERROR(INDEX(Reaches!$G$7:$G$60,MATCH(B572,Reaches!$B$7:$B$60,0)),"")</f>
        <v/>
      </c>
      <c r="D572" s="3">
        <v>45687</v>
      </c>
      <c r="E572">
        <v>95000</v>
      </c>
    </row>
    <row r="573" spans="1:5" x14ac:dyDescent="0.25">
      <c r="A573">
        <f>IF(ISBLANK(B573),A572,IFERROR(INDEX(Reaches!$A$7:$A$60,MATCH(B573,Reaches!$B$7:$B$60,0)),-1))</f>
        <v>28</v>
      </c>
      <c r="C573" s="1" t="str">
        <f>IFERROR(INDEX(Reaches!$G$7:$G$60,MATCH(B573,Reaches!$B$7:$B$60,0)),"")</f>
        <v/>
      </c>
      <c r="D573" s="3">
        <v>56598</v>
      </c>
      <c r="E573">
        <v>115000</v>
      </c>
    </row>
    <row r="574" spans="1:5" x14ac:dyDescent="0.25">
      <c r="A574">
        <f>IF(ISBLANK(B574),A573,IFERROR(INDEX(Reaches!$A$7:$A$60,MATCH(B574,Reaches!$B$7:$B$60,0)),-1))</f>
        <v>28</v>
      </c>
      <c r="C574" s="1" t="str">
        <f>IFERROR(INDEX(Reaches!$G$7:$G$60,MATCH(B574,Reaches!$B$7:$B$60,0)),"")</f>
        <v/>
      </c>
      <c r="D574" s="3">
        <v>68058</v>
      </c>
      <c r="E574">
        <v>135000</v>
      </c>
    </row>
    <row r="575" spans="1:5" x14ac:dyDescent="0.25">
      <c r="A575">
        <f>IF(ISBLANK(B575),A574,IFERROR(INDEX(Reaches!$A$7:$A$60,MATCH(B575,Reaches!$B$7:$B$60,0)),-1))</f>
        <v>28</v>
      </c>
      <c r="C575" s="1" t="str">
        <f>IFERROR(INDEX(Reaches!$G$7:$G$60,MATCH(B575,Reaches!$B$7:$B$60,0)),"")</f>
        <v/>
      </c>
      <c r="D575" s="3">
        <v>80203</v>
      </c>
      <c r="E575">
        <v>155000</v>
      </c>
    </row>
    <row r="576" spans="1:5" x14ac:dyDescent="0.25">
      <c r="A576">
        <f>IF(ISBLANK(B576),A575,IFERROR(INDEX(Reaches!$A$7:$A$60,MATCH(B576,Reaches!$B$7:$B$60,0)),-1))</f>
        <v>28</v>
      </c>
      <c r="C576" s="1" t="str">
        <f>IFERROR(INDEX(Reaches!$G$7:$G$60,MATCH(B576,Reaches!$B$7:$B$60,0)),"")</f>
        <v/>
      </c>
      <c r="D576" s="3">
        <v>94778</v>
      </c>
      <c r="E576">
        <v>180000</v>
      </c>
    </row>
    <row r="577" spans="1:6" x14ac:dyDescent="0.25">
      <c r="A577">
        <f>IF(ISBLANK(B577),A576,IFERROR(INDEX(Reaches!$A$7:$A$60,MATCH(B577,Reaches!$B$7:$B$60,0)),-1))</f>
        <v>28</v>
      </c>
      <c r="C577" s="1" t="str">
        <f>IFERROR(INDEX(Reaches!$G$7:$G$60,MATCH(B577,Reaches!$B$7:$B$60,0)),"")</f>
        <v/>
      </c>
      <c r="D577" s="3">
        <v>109097</v>
      </c>
      <c r="E577">
        <v>205000</v>
      </c>
    </row>
    <row r="578" spans="1:6" x14ac:dyDescent="0.25">
      <c r="A578">
        <f>IF(ISBLANK(B578),A577,IFERROR(INDEX(Reaches!$A$7:$A$60,MATCH(B578,Reaches!$B$7:$B$60,0)),-1))</f>
        <v>28</v>
      </c>
      <c r="C578" s="1" t="str">
        <f>IFERROR(INDEX(Reaches!$G$7:$G$60,MATCH(B578,Reaches!$B$7:$B$60,0)),"")</f>
        <v/>
      </c>
      <c r="D578" s="3">
        <v>119853</v>
      </c>
      <c r="E578">
        <v>225000</v>
      </c>
    </row>
    <row r="579" spans="1:6" x14ac:dyDescent="0.25">
      <c r="A579">
        <f>IF(ISBLANK(B579),A578,IFERROR(INDEX(Reaches!$A$7:$A$60,MATCH(B579,Reaches!$B$7:$B$60,0)),-1))</f>
        <v>28</v>
      </c>
      <c r="C579" s="1" t="str">
        <f>IFERROR(INDEX(Reaches!$G$7:$G$60,MATCH(B579,Reaches!$B$7:$B$60,0)),"")</f>
        <v/>
      </c>
      <c r="D579" s="3">
        <v>127757</v>
      </c>
      <c r="E579">
        <v>240000</v>
      </c>
    </row>
    <row r="580" spans="1:6" x14ac:dyDescent="0.25">
      <c r="A580">
        <f>IF(ISBLANK(B580),A579,IFERROR(INDEX(Reaches!$A$7:$A$60,MATCH(B580,Reaches!$B$7:$B$60,0)),-1))</f>
        <v>28</v>
      </c>
      <c r="C580" s="1" t="str">
        <f>IFERROR(INDEX(Reaches!$G$7:$G$60,MATCH(B580,Reaches!$B$7:$B$60,0)),"")</f>
        <v/>
      </c>
      <c r="D580" s="3">
        <v>176768</v>
      </c>
      <c r="E580">
        <v>340000</v>
      </c>
    </row>
    <row r="581" spans="1:6" x14ac:dyDescent="0.25">
      <c r="A581">
        <f>IF(ISBLANK(B581),A580,IFERROR(INDEX(Reaches!$A$7:$A$60,MATCH(B581,Reaches!$B$7:$B$60,0)),-1))</f>
        <v>28</v>
      </c>
      <c r="C581" s="1" t="str">
        <f>IFERROR(INDEX(Reaches!$G$7:$G$60,MATCH(B581,Reaches!$B$7:$B$60,0)),"")</f>
        <v/>
      </c>
      <c r="D581" s="3">
        <v>238841</v>
      </c>
      <c r="E581">
        <v>480000</v>
      </c>
    </row>
    <row r="582" spans="1:6" x14ac:dyDescent="0.25">
      <c r="A582">
        <f>IF(ISBLANK(B582),A581,IFERROR(INDEX(Reaches!$A$7:$A$60,MATCH(B582,Reaches!$B$7:$B$60,0)),-1))</f>
        <v>28</v>
      </c>
      <c r="C582" s="1"/>
      <c r="D582">
        <f>ROUND(D581+(E582-E581)*(D581-D580)/(E581-E580),0)</f>
        <v>912776</v>
      </c>
      <c r="E582">
        <v>2000000</v>
      </c>
    </row>
    <row r="583" spans="1:6" x14ac:dyDescent="0.25">
      <c r="A583">
        <f>IF(ISBLANK(B583),A581,IFERROR(INDEX(Reaches!$A$7:$A$60,MATCH(B583,Reaches!$B$7:$B$60,0)),-1))</f>
        <v>29</v>
      </c>
      <c r="B583" t="s">
        <v>105</v>
      </c>
      <c r="C583" s="1">
        <f>IFERROR(INDEX(Reaches!$G$7:$G$60,MATCH(B583,Reaches!$B$7:$B$60,0)),"")</f>
        <v>1</v>
      </c>
      <c r="D583" s="3">
        <v>0</v>
      </c>
      <c r="E583">
        <v>0</v>
      </c>
      <c r="F583" t="s">
        <v>228</v>
      </c>
    </row>
    <row r="584" spans="1:6" x14ac:dyDescent="0.25">
      <c r="A584">
        <f>IF(ISBLANK(B584),A583,IFERROR(INDEX(Reaches!$A$7:$A$60,MATCH(B584,Reaches!$B$7:$B$60,0)),-1))</f>
        <v>29</v>
      </c>
      <c r="C584" s="1" t="str">
        <f>IFERROR(INDEX(Reaches!$G$7:$G$60,MATCH(B584,Reaches!$B$7:$B$60,0)),"")</f>
        <v/>
      </c>
      <c r="D584" s="3">
        <v>190.8</v>
      </c>
      <c r="E584">
        <v>300</v>
      </c>
    </row>
    <row r="585" spans="1:6" x14ac:dyDescent="0.25">
      <c r="A585">
        <f>IF(ISBLANK(B585),A584,IFERROR(INDEX(Reaches!$A$7:$A$60,MATCH(B585,Reaches!$B$7:$B$60,0)),-1))</f>
        <v>29</v>
      </c>
      <c r="C585" s="1" t="str">
        <f>IFERROR(INDEX(Reaches!$G$7:$G$60,MATCH(B585,Reaches!$B$7:$B$60,0)),"")</f>
        <v/>
      </c>
      <c r="D585" s="3">
        <v>200.8</v>
      </c>
      <c r="E585">
        <v>313</v>
      </c>
    </row>
    <row r="586" spans="1:6" x14ac:dyDescent="0.25">
      <c r="A586">
        <f>IF(ISBLANK(B586),A585,IFERROR(INDEX(Reaches!$A$7:$A$60,MATCH(B586,Reaches!$B$7:$B$60,0)),-1))</f>
        <v>29</v>
      </c>
      <c r="C586" s="1" t="str">
        <f>IFERROR(INDEX(Reaches!$G$7:$G$60,MATCH(B586,Reaches!$B$7:$B$60,0)),"")</f>
        <v/>
      </c>
      <c r="D586" s="3">
        <v>214.20000000000056</v>
      </c>
      <c r="E586">
        <v>325</v>
      </c>
    </row>
    <row r="587" spans="1:6" x14ac:dyDescent="0.25">
      <c r="A587">
        <f>IF(ISBLANK(B587),A586,IFERROR(INDEX(Reaches!$A$7:$A$60,MATCH(B587,Reaches!$B$7:$B$60,0)),-1))</f>
        <v>29</v>
      </c>
      <c r="C587" s="1" t="str">
        <f>IFERROR(INDEX(Reaches!$G$7:$G$60,MATCH(B587,Reaches!$B$7:$B$60,0)),"")</f>
        <v/>
      </c>
      <c r="D587" s="3">
        <v>238.8</v>
      </c>
      <c r="E587">
        <v>364</v>
      </c>
    </row>
    <row r="588" spans="1:6" x14ac:dyDescent="0.25">
      <c r="A588">
        <f>IF(ISBLANK(B588),A587,IFERROR(INDEX(Reaches!$A$7:$A$60,MATCH(B588,Reaches!$B$7:$B$60,0)),-1))</f>
        <v>29</v>
      </c>
      <c r="C588" s="1" t="str">
        <f>IFERROR(INDEX(Reaches!$G$7:$G$60,MATCH(B588,Reaches!$B$7:$B$60,0)),"")</f>
        <v/>
      </c>
      <c r="D588" s="3">
        <v>253.60000000000019</v>
      </c>
      <c r="E588">
        <v>395</v>
      </c>
    </row>
    <row r="589" spans="1:6" x14ac:dyDescent="0.25">
      <c r="A589">
        <f>IF(ISBLANK(B589),A588,IFERROR(INDEX(Reaches!$A$7:$A$60,MATCH(B589,Reaches!$B$7:$B$60,0)),-1))</f>
        <v>29</v>
      </c>
      <c r="C589" s="1" t="str">
        <f>IFERROR(INDEX(Reaches!$G$7:$G$60,MATCH(B589,Reaches!$B$7:$B$60,0)),"")</f>
        <v/>
      </c>
      <c r="D589" s="3">
        <v>266.10000000000019</v>
      </c>
      <c r="E589">
        <v>427</v>
      </c>
    </row>
    <row r="590" spans="1:6" x14ac:dyDescent="0.25">
      <c r="A590">
        <f>IF(ISBLANK(B590),A589,IFERROR(INDEX(Reaches!$A$7:$A$60,MATCH(B590,Reaches!$B$7:$B$60,0)),-1))</f>
        <v>29</v>
      </c>
      <c r="C590" s="1" t="str">
        <f>IFERROR(INDEX(Reaches!$G$7:$G$60,MATCH(B590,Reaches!$B$7:$B$60,0)),"")</f>
        <v/>
      </c>
      <c r="D590" s="3">
        <v>285.70000000000056</v>
      </c>
      <c r="E590">
        <v>490</v>
      </c>
    </row>
    <row r="591" spans="1:6" x14ac:dyDescent="0.25">
      <c r="A591">
        <f>IF(ISBLANK(B591),A590,IFERROR(INDEX(Reaches!$A$7:$A$60,MATCH(B591,Reaches!$B$7:$B$60,0)),-1))</f>
        <v>29</v>
      </c>
      <c r="C591" s="1" t="str">
        <f>IFERROR(INDEX(Reaches!$G$7:$G$60,MATCH(B591,Reaches!$B$7:$B$60,0)),"")</f>
        <v/>
      </c>
      <c r="D591" s="3">
        <v>302.70000000000056</v>
      </c>
      <c r="E591">
        <v>554</v>
      </c>
    </row>
    <row r="592" spans="1:6" x14ac:dyDescent="0.25">
      <c r="A592">
        <f>IF(ISBLANK(B592),A591,IFERROR(INDEX(Reaches!$A$7:$A$60,MATCH(B592,Reaches!$B$7:$B$60,0)),-1))</f>
        <v>29</v>
      </c>
      <c r="C592" s="1" t="str">
        <f>IFERROR(INDEX(Reaches!$G$7:$G$60,MATCH(B592,Reaches!$B$7:$B$60,0)),"")</f>
        <v/>
      </c>
      <c r="D592" s="3">
        <v>315.10000000000019</v>
      </c>
      <c r="E592">
        <v>681</v>
      </c>
    </row>
    <row r="593" spans="1:5" x14ac:dyDescent="0.25">
      <c r="A593">
        <f>IF(ISBLANK(B593),A592,IFERROR(INDEX(Reaches!$A$7:$A$60,MATCH(B593,Reaches!$B$7:$B$60,0)),-1))</f>
        <v>29</v>
      </c>
      <c r="C593" s="1" t="str">
        <f>IFERROR(INDEX(Reaches!$G$7:$G$60,MATCH(B593,Reaches!$B$7:$B$60,0)),"")</f>
        <v/>
      </c>
      <c r="D593" s="3">
        <v>333.8</v>
      </c>
      <c r="E593">
        <v>935</v>
      </c>
    </row>
    <row r="594" spans="1:5" x14ac:dyDescent="0.25">
      <c r="A594">
        <f>IF(ISBLANK(B594),A593,IFERROR(INDEX(Reaches!$A$7:$A$60,MATCH(B594,Reaches!$B$7:$B$60,0)),-1))</f>
        <v>29</v>
      </c>
      <c r="C594" s="1" t="str">
        <f>IFERROR(INDEX(Reaches!$G$7:$G$60,MATCH(B594,Reaches!$B$7:$B$60,0)),"")</f>
        <v/>
      </c>
      <c r="D594" s="3">
        <v>353.40000000000038</v>
      </c>
      <c r="E594">
        <v>1252</v>
      </c>
    </row>
    <row r="595" spans="1:5" x14ac:dyDescent="0.25">
      <c r="A595">
        <f>IF(ISBLANK(B595),A594,IFERROR(INDEX(Reaches!$A$7:$A$60,MATCH(B595,Reaches!$B$7:$B$60,0)),-1))</f>
        <v>29</v>
      </c>
      <c r="C595" s="1" t="str">
        <f>IFERROR(INDEX(Reaches!$G$7:$G$60,MATCH(B595,Reaches!$B$7:$B$60,0)),"")</f>
        <v/>
      </c>
      <c r="D595" s="3">
        <v>370.20000000000056</v>
      </c>
      <c r="E595">
        <v>1570</v>
      </c>
    </row>
    <row r="596" spans="1:5" x14ac:dyDescent="0.25">
      <c r="A596">
        <f>IF(ISBLANK(B596),A595,IFERROR(INDEX(Reaches!$A$7:$A$60,MATCH(B596,Reaches!$B$7:$B$60,0)),-1))</f>
        <v>29</v>
      </c>
      <c r="C596" s="1" t="str">
        <f>IFERROR(INDEX(Reaches!$G$7:$G$60,MATCH(B596,Reaches!$B$7:$B$60,0)),"")</f>
        <v/>
      </c>
      <c r="D596" s="3">
        <v>385.8</v>
      </c>
      <c r="E596">
        <v>1888</v>
      </c>
    </row>
    <row r="597" spans="1:5" x14ac:dyDescent="0.25">
      <c r="A597">
        <f>IF(ISBLANK(B597),A596,IFERROR(INDEX(Reaches!$A$7:$A$60,MATCH(B597,Reaches!$B$7:$B$60,0)),-1))</f>
        <v>29</v>
      </c>
      <c r="C597" s="1" t="str">
        <f>IFERROR(INDEX(Reaches!$G$7:$G$60,MATCH(B597,Reaches!$B$7:$B$60,0)),"")</f>
        <v/>
      </c>
      <c r="D597" s="3">
        <v>400.8</v>
      </c>
      <c r="E597">
        <v>2205</v>
      </c>
    </row>
    <row r="598" spans="1:5" x14ac:dyDescent="0.25">
      <c r="A598">
        <f>IF(ISBLANK(B598),A597,IFERROR(INDEX(Reaches!$A$7:$A$60,MATCH(B598,Reaches!$B$7:$B$60,0)),-1))</f>
        <v>29</v>
      </c>
      <c r="C598" s="1" t="str">
        <f>IFERROR(INDEX(Reaches!$G$7:$G$60,MATCH(B598,Reaches!$B$7:$B$60,0)),"")</f>
        <v/>
      </c>
      <c r="D598" s="3">
        <v>427.10000000000019</v>
      </c>
      <c r="E598">
        <v>2840</v>
      </c>
    </row>
    <row r="599" spans="1:5" x14ac:dyDescent="0.25">
      <c r="A599">
        <f>IF(ISBLANK(B599),A598,IFERROR(INDEX(Reaches!$A$7:$A$60,MATCH(B599,Reaches!$B$7:$B$60,0)),-1))</f>
        <v>29</v>
      </c>
      <c r="C599" s="1" t="str">
        <f>IFERROR(INDEX(Reaches!$G$7:$G$60,MATCH(B599,Reaches!$B$7:$B$60,0)),"")</f>
        <v/>
      </c>
      <c r="D599" s="3">
        <v>451.60000000000019</v>
      </c>
      <c r="E599">
        <v>3475</v>
      </c>
    </row>
    <row r="600" spans="1:5" x14ac:dyDescent="0.25">
      <c r="A600">
        <f>IF(ISBLANK(B600),A599,IFERROR(INDEX(Reaches!$A$7:$A$60,MATCH(B600,Reaches!$B$7:$B$60,0)),-1))</f>
        <v>29</v>
      </c>
      <c r="C600" s="1" t="str">
        <f>IFERROR(INDEX(Reaches!$G$7:$G$60,MATCH(B600,Reaches!$B$7:$B$60,0)),"")</f>
        <v/>
      </c>
      <c r="D600" s="3">
        <v>474.70000000000056</v>
      </c>
      <c r="E600">
        <v>4110</v>
      </c>
    </row>
    <row r="601" spans="1:5" x14ac:dyDescent="0.25">
      <c r="A601">
        <f>IF(ISBLANK(B601),A600,IFERROR(INDEX(Reaches!$A$7:$A$60,MATCH(B601,Reaches!$B$7:$B$60,0)),-1))</f>
        <v>29</v>
      </c>
      <c r="C601" s="1" t="str">
        <f>IFERROR(INDEX(Reaches!$G$7:$G$60,MATCH(B601,Reaches!$B$7:$B$60,0)),"")</f>
        <v/>
      </c>
      <c r="D601" s="3">
        <v>495.90000000000038</v>
      </c>
      <c r="E601">
        <v>4745</v>
      </c>
    </row>
    <row r="602" spans="1:5" x14ac:dyDescent="0.25">
      <c r="A602">
        <f>IF(ISBLANK(B602),A601,IFERROR(INDEX(Reaches!$A$7:$A$60,MATCH(B602,Reaches!$B$7:$B$60,0)),-1))</f>
        <v>29</v>
      </c>
      <c r="C602" s="1" t="str">
        <f>IFERROR(INDEX(Reaches!$G$7:$G$60,MATCH(B602,Reaches!$B$7:$B$60,0)),"")</f>
        <v/>
      </c>
      <c r="D602" s="3">
        <v>517.00000000000068</v>
      </c>
      <c r="E602">
        <v>5380</v>
      </c>
    </row>
    <row r="603" spans="1:5" x14ac:dyDescent="0.25">
      <c r="A603">
        <f>IF(ISBLANK(B603),A602,IFERROR(INDEX(Reaches!$A$7:$A$60,MATCH(B603,Reaches!$B$7:$B$60,0)),-1))</f>
        <v>29</v>
      </c>
      <c r="C603" s="1" t="str">
        <f>IFERROR(INDEX(Reaches!$G$7:$G$60,MATCH(B603,Reaches!$B$7:$B$60,0)),"")</f>
        <v/>
      </c>
      <c r="D603" s="3">
        <v>557.79999999999995</v>
      </c>
      <c r="E603">
        <v>6650</v>
      </c>
    </row>
    <row r="604" spans="1:5" x14ac:dyDescent="0.25">
      <c r="A604">
        <f>IF(ISBLANK(B604),A603,IFERROR(INDEX(Reaches!$A$7:$A$60,MATCH(B604,Reaches!$B$7:$B$60,0)),-1))</f>
        <v>29</v>
      </c>
      <c r="C604" s="1" t="str">
        <f>IFERROR(INDEX(Reaches!$G$7:$G$60,MATCH(B604,Reaches!$B$7:$B$60,0)),"")</f>
        <v/>
      </c>
      <c r="D604" s="3">
        <v>631.90000000000032</v>
      </c>
      <c r="E604">
        <v>9190</v>
      </c>
    </row>
    <row r="605" spans="1:5" x14ac:dyDescent="0.25">
      <c r="A605">
        <f>IF(ISBLANK(B605),A604,IFERROR(INDEX(Reaches!$A$7:$A$60,MATCH(B605,Reaches!$B$7:$B$60,0)),-1))</f>
        <v>29</v>
      </c>
      <c r="C605" s="1" t="str">
        <f>IFERROR(INDEX(Reaches!$G$7:$G$60,MATCH(B605,Reaches!$B$7:$B$60,0)),"")</f>
        <v/>
      </c>
      <c r="D605" s="3">
        <v>683.7000000000005</v>
      </c>
      <c r="E605">
        <v>11095</v>
      </c>
    </row>
    <row r="606" spans="1:5" x14ac:dyDescent="0.25">
      <c r="A606">
        <f>IF(ISBLANK(B606),A605,IFERROR(INDEX(Reaches!$A$7:$A$60,MATCH(B606,Reaches!$B$7:$B$60,0)),-1))</f>
        <v>29</v>
      </c>
      <c r="C606" s="1" t="str">
        <f>IFERROR(INDEX(Reaches!$G$7:$G$60,MATCH(B606,Reaches!$B$7:$B$60,0)),"")</f>
        <v/>
      </c>
      <c r="D606" s="3">
        <v>732.10000000000014</v>
      </c>
      <c r="E606">
        <v>13000</v>
      </c>
    </row>
    <row r="607" spans="1:5" x14ac:dyDescent="0.25">
      <c r="A607">
        <f>IF(ISBLANK(B607),A606,IFERROR(INDEX(Reaches!$A$7:$A$60,MATCH(B607,Reaches!$B$7:$B$60,0)),-1))</f>
        <v>29</v>
      </c>
      <c r="C607" s="1" t="str">
        <f>IFERROR(INDEX(Reaches!$G$7:$G$60,MATCH(B607,Reaches!$B$7:$B$60,0)),"")</f>
        <v/>
      </c>
      <c r="D607" s="3">
        <v>2286.8000000000002</v>
      </c>
      <c r="E607">
        <v>100000</v>
      </c>
    </row>
    <row r="608" spans="1:5" x14ac:dyDescent="0.25">
      <c r="A608">
        <f>IF(ISBLANK(B608),A607,IFERROR(INDEX(Reaches!$A$7:$A$60,MATCH(B608,Reaches!$B$7:$B$60,0)),-1))</f>
        <v>29</v>
      </c>
      <c r="C608" s="1" t="str">
        <f>IFERROR(INDEX(Reaches!$G$7:$G$60,MATCH(B608,Reaches!$B$7:$B$60,0)),"")</f>
        <v/>
      </c>
      <c r="D608" s="3">
        <v>3774.8</v>
      </c>
      <c r="E608">
        <v>175000</v>
      </c>
    </row>
    <row r="609" spans="1:5" x14ac:dyDescent="0.25">
      <c r="A609">
        <f>IF(ISBLANK(B609),A608,IFERROR(INDEX(Reaches!$A$7:$A$60,MATCH(B609,Reaches!$B$7:$B$60,0)),-1))</f>
        <v>29</v>
      </c>
      <c r="C609" s="1"/>
      <c r="D609">
        <f>ROUND(D608+(E609-E608)*(D608-D607)/(E608-E607),0)</f>
        <v>20143</v>
      </c>
      <c r="E609">
        <v>999999</v>
      </c>
    </row>
    <row r="610" spans="1:5" x14ac:dyDescent="0.25">
      <c r="A610">
        <f>IF(ISBLANK(B610),A609,IFERROR(INDEX(Reaches!$A$7:$A$60,MATCH(B610,Reaches!$B$7:$B$60,0)),-1))</f>
        <v>30</v>
      </c>
      <c r="B610" t="s">
        <v>43</v>
      </c>
      <c r="C610" s="1">
        <f>IFERROR(INDEX(Reaches!$G$7:$G$60,MATCH(B610,Reaches!$B$7:$B$60,0)),"")</f>
        <v>3</v>
      </c>
      <c r="D610" s="3">
        <v>0</v>
      </c>
      <c r="E610">
        <v>0</v>
      </c>
    </row>
    <row r="611" spans="1:5" x14ac:dyDescent="0.25">
      <c r="A611">
        <f>IF(ISBLANK(B611),A610,IFERROR(INDEX(Reaches!$A$7:$A$60,MATCH(B611,Reaches!$B$7:$B$60,0)),-1))</f>
        <v>30</v>
      </c>
      <c r="C611" s="1" t="str">
        <f>IFERROR(INDEX(Reaches!$G$7:$G$60,MATCH(B611,Reaches!$B$7:$B$60,0)),"")</f>
        <v/>
      </c>
      <c r="D611" s="3">
        <v>288</v>
      </c>
      <c r="E611">
        <v>470</v>
      </c>
    </row>
    <row r="612" spans="1:5" x14ac:dyDescent="0.25">
      <c r="A612">
        <f>IF(ISBLANK(B612),A611,IFERROR(INDEX(Reaches!$A$7:$A$60,MATCH(B612,Reaches!$B$7:$B$60,0)),-1))</f>
        <v>30</v>
      </c>
      <c r="C612" s="1" t="str">
        <f>IFERROR(INDEX(Reaches!$G$7:$G$60,MATCH(B612,Reaches!$B$7:$B$60,0)),"")</f>
        <v/>
      </c>
      <c r="D612" s="3">
        <v>300</v>
      </c>
      <c r="E612">
        <v>498</v>
      </c>
    </row>
    <row r="613" spans="1:5" x14ac:dyDescent="0.25">
      <c r="A613">
        <f>IF(ISBLANK(B613),A612,IFERROR(INDEX(Reaches!$A$7:$A$60,MATCH(B613,Reaches!$B$7:$B$60,0)),-1))</f>
        <v>30</v>
      </c>
      <c r="C613" s="1" t="str">
        <f>IFERROR(INDEX(Reaches!$G$7:$G$60,MATCH(B613,Reaches!$B$7:$B$60,0)),"")</f>
        <v/>
      </c>
      <c r="D613" s="3">
        <v>312</v>
      </c>
      <c r="E613">
        <v>526</v>
      </c>
    </row>
    <row r="614" spans="1:5" x14ac:dyDescent="0.25">
      <c r="A614">
        <f>IF(ISBLANK(B614),A613,IFERROR(INDEX(Reaches!$A$7:$A$60,MATCH(B614,Reaches!$B$7:$B$60,0)),-1))</f>
        <v>30</v>
      </c>
      <c r="C614" s="1" t="str">
        <f>IFERROR(INDEX(Reaches!$G$7:$G$60,MATCH(B614,Reaches!$B$7:$B$60,0)),"")</f>
        <v/>
      </c>
      <c r="D614" s="3">
        <v>344</v>
      </c>
      <c r="E614">
        <v>611</v>
      </c>
    </row>
    <row r="615" spans="1:5" x14ac:dyDescent="0.25">
      <c r="A615">
        <f>IF(ISBLANK(B615),A614,IFERROR(INDEX(Reaches!$A$7:$A$60,MATCH(B615,Reaches!$B$7:$B$60,0)),-1))</f>
        <v>30</v>
      </c>
      <c r="C615" s="1" t="str">
        <f>IFERROR(INDEX(Reaches!$G$7:$G$60,MATCH(B615,Reaches!$B$7:$B$60,0)),"")</f>
        <v/>
      </c>
      <c r="D615" s="3">
        <v>370</v>
      </c>
      <c r="E615">
        <v>682</v>
      </c>
    </row>
    <row r="616" spans="1:5" x14ac:dyDescent="0.25">
      <c r="A616">
        <f>IF(ISBLANK(B616),A615,IFERROR(INDEX(Reaches!$A$7:$A$60,MATCH(B616,Reaches!$B$7:$B$60,0)),-1))</f>
        <v>30</v>
      </c>
      <c r="C616" s="1" t="str">
        <f>IFERROR(INDEX(Reaches!$G$7:$G$60,MATCH(B616,Reaches!$B$7:$B$60,0)),"")</f>
        <v/>
      </c>
      <c r="D616" s="3">
        <v>396</v>
      </c>
      <c r="E616">
        <v>752</v>
      </c>
    </row>
    <row r="617" spans="1:5" x14ac:dyDescent="0.25">
      <c r="A617">
        <f>IF(ISBLANK(B617),A616,IFERROR(INDEX(Reaches!$A$7:$A$60,MATCH(B617,Reaches!$B$7:$B$60,0)),-1))</f>
        <v>30</v>
      </c>
      <c r="C617" s="1" t="str">
        <f>IFERROR(INDEX(Reaches!$G$7:$G$60,MATCH(B617,Reaches!$B$7:$B$60,0)),"")</f>
        <v/>
      </c>
      <c r="D617" s="3">
        <v>445</v>
      </c>
      <c r="E617">
        <v>893</v>
      </c>
    </row>
    <row r="618" spans="1:5" x14ac:dyDescent="0.25">
      <c r="A618">
        <f>IF(ISBLANK(B618),A617,IFERROR(INDEX(Reaches!$A$7:$A$60,MATCH(B618,Reaches!$B$7:$B$60,0)),-1))</f>
        <v>30</v>
      </c>
      <c r="C618" s="1" t="str">
        <f>IFERROR(INDEX(Reaches!$G$7:$G$60,MATCH(B618,Reaches!$B$7:$B$60,0)),"")</f>
        <v/>
      </c>
      <c r="D618" s="3">
        <v>492</v>
      </c>
      <c r="E618">
        <v>1035</v>
      </c>
    </row>
    <row r="619" spans="1:5" x14ac:dyDescent="0.25">
      <c r="A619">
        <f>IF(ISBLANK(B619),A618,IFERROR(INDEX(Reaches!$A$7:$A$60,MATCH(B619,Reaches!$B$7:$B$60,0)),-1))</f>
        <v>30</v>
      </c>
      <c r="C619" s="1" t="str">
        <f>IFERROR(INDEX(Reaches!$G$7:$G$60,MATCH(B619,Reaches!$B$7:$B$60,0)),"")</f>
        <v/>
      </c>
      <c r="D619" s="3">
        <v>580</v>
      </c>
      <c r="E619">
        <v>1317</v>
      </c>
    </row>
    <row r="620" spans="1:5" x14ac:dyDescent="0.25">
      <c r="A620">
        <f>IF(ISBLANK(B620),A619,IFERROR(INDEX(Reaches!$A$7:$A$60,MATCH(B620,Reaches!$B$7:$B$60,0)),-1))</f>
        <v>30</v>
      </c>
      <c r="C620" s="1" t="str">
        <f>IFERROR(INDEX(Reaches!$G$7:$G$60,MATCH(B620,Reaches!$B$7:$B$60,0)),"")</f>
        <v/>
      </c>
      <c r="D620" s="3">
        <v>744</v>
      </c>
      <c r="E620">
        <v>1882</v>
      </c>
    </row>
    <row r="621" spans="1:5" x14ac:dyDescent="0.25">
      <c r="A621">
        <f>IF(ISBLANK(B621),A620,IFERROR(INDEX(Reaches!$A$7:$A$60,MATCH(B621,Reaches!$B$7:$B$60,0)),-1))</f>
        <v>30</v>
      </c>
      <c r="C621" s="1" t="str">
        <f>IFERROR(INDEX(Reaches!$G$7:$G$60,MATCH(B621,Reaches!$B$7:$B$60,0)),"")</f>
        <v/>
      </c>
      <c r="D621" s="3">
        <v>931</v>
      </c>
      <c r="E621">
        <v>2587</v>
      </c>
    </row>
    <row r="622" spans="1:5" x14ac:dyDescent="0.25">
      <c r="A622">
        <f>IF(ISBLANK(B622),A621,IFERROR(INDEX(Reaches!$A$7:$A$60,MATCH(B622,Reaches!$B$7:$B$60,0)),-1))</f>
        <v>30</v>
      </c>
      <c r="C622" s="1" t="str">
        <f>IFERROR(INDEX(Reaches!$G$7:$G$60,MATCH(B622,Reaches!$B$7:$B$60,0)),"")</f>
        <v/>
      </c>
      <c r="D622" s="3">
        <v>1106</v>
      </c>
      <c r="E622">
        <v>3293</v>
      </c>
    </row>
    <row r="623" spans="1:5" x14ac:dyDescent="0.25">
      <c r="A623">
        <f>IF(ISBLANK(B623),A622,IFERROR(INDEX(Reaches!$A$7:$A$60,MATCH(B623,Reaches!$B$7:$B$60,0)),-1))</f>
        <v>30</v>
      </c>
      <c r="C623" s="1" t="str">
        <f>IFERROR(INDEX(Reaches!$G$7:$G$60,MATCH(B623,Reaches!$B$7:$B$60,0)),"")</f>
        <v/>
      </c>
      <c r="D623" s="3">
        <v>1278</v>
      </c>
      <c r="E623">
        <v>3999</v>
      </c>
    </row>
    <row r="624" spans="1:5" x14ac:dyDescent="0.25">
      <c r="A624">
        <f>IF(ISBLANK(B624),A623,IFERROR(INDEX(Reaches!$A$7:$A$60,MATCH(B624,Reaches!$B$7:$B$60,0)),-1))</f>
        <v>30</v>
      </c>
      <c r="C624" s="1" t="str">
        <f>IFERROR(INDEX(Reaches!$G$7:$G$60,MATCH(B624,Reaches!$B$7:$B$60,0)),"")</f>
        <v/>
      </c>
      <c r="D624" s="3">
        <v>1444</v>
      </c>
      <c r="E624">
        <v>4704</v>
      </c>
    </row>
    <row r="625" spans="1:6" x14ac:dyDescent="0.25">
      <c r="A625">
        <f>IF(ISBLANK(B625),A624,IFERROR(INDEX(Reaches!$A$7:$A$60,MATCH(B625,Reaches!$B$7:$B$60,0)),-1))</f>
        <v>30</v>
      </c>
      <c r="C625" s="1" t="str">
        <f>IFERROR(INDEX(Reaches!$G$7:$G$60,MATCH(B625,Reaches!$B$7:$B$60,0)),"")</f>
        <v/>
      </c>
      <c r="D625" s="3">
        <v>1765</v>
      </c>
      <c r="E625">
        <v>6116</v>
      </c>
    </row>
    <row r="626" spans="1:6" x14ac:dyDescent="0.25">
      <c r="A626">
        <f>IF(ISBLANK(B626),A625,IFERROR(INDEX(Reaches!$A$7:$A$60,MATCH(B626,Reaches!$B$7:$B$60,0)),-1))</f>
        <v>30</v>
      </c>
      <c r="C626" s="1" t="str">
        <f>IFERROR(INDEX(Reaches!$G$7:$G$60,MATCH(B626,Reaches!$B$7:$B$60,0)),"")</f>
        <v/>
      </c>
      <c r="D626" s="3">
        <v>2090</v>
      </c>
      <c r="E626">
        <v>7528</v>
      </c>
    </row>
    <row r="627" spans="1:6" x14ac:dyDescent="0.25">
      <c r="A627">
        <f>IF(ISBLANK(B627),A626,IFERROR(INDEX(Reaches!$A$7:$A$60,MATCH(B627,Reaches!$B$7:$B$60,0)),-1))</f>
        <v>30</v>
      </c>
      <c r="C627" s="1" t="str">
        <f>IFERROR(INDEX(Reaches!$G$7:$G$60,MATCH(B627,Reaches!$B$7:$B$60,0)),"")</f>
        <v/>
      </c>
      <c r="D627" s="3">
        <v>2482</v>
      </c>
      <c r="E627">
        <v>8939</v>
      </c>
    </row>
    <row r="628" spans="1:6" x14ac:dyDescent="0.25">
      <c r="A628">
        <f>IF(ISBLANK(B628),A627,IFERROR(INDEX(Reaches!$A$7:$A$60,MATCH(B628,Reaches!$B$7:$B$60,0)),-1))</f>
        <v>30</v>
      </c>
      <c r="C628" s="1" t="str">
        <f>IFERROR(INDEX(Reaches!$G$7:$G$60,MATCH(B628,Reaches!$B$7:$B$60,0)),"")</f>
        <v/>
      </c>
      <c r="D628" s="3">
        <v>2927</v>
      </c>
      <c r="E628">
        <v>10350</v>
      </c>
    </row>
    <row r="629" spans="1:6" x14ac:dyDescent="0.25">
      <c r="A629">
        <f>IF(ISBLANK(B629),A628,IFERROR(INDEX(Reaches!$A$7:$A$60,MATCH(B629,Reaches!$B$7:$B$60,0)),-1))</f>
        <v>30</v>
      </c>
      <c r="C629" s="1" t="str">
        <f>IFERROR(INDEX(Reaches!$G$7:$G$60,MATCH(B629,Reaches!$B$7:$B$60,0)),"")</f>
        <v/>
      </c>
      <c r="D629" s="3">
        <v>3273</v>
      </c>
      <c r="E629">
        <v>11762</v>
      </c>
    </row>
    <row r="630" spans="1:6" x14ac:dyDescent="0.25">
      <c r="A630">
        <f>IF(ISBLANK(B630),A629,IFERROR(INDEX(Reaches!$A$7:$A$60,MATCH(B630,Reaches!$B$7:$B$60,0)),-1))</f>
        <v>30</v>
      </c>
      <c r="C630" s="1" t="str">
        <f>IFERROR(INDEX(Reaches!$G$7:$G$60,MATCH(B630,Reaches!$B$7:$B$60,0)),"")</f>
        <v/>
      </c>
      <c r="D630" s="3">
        <v>4037</v>
      </c>
      <c r="E630">
        <v>14585</v>
      </c>
    </row>
    <row r="631" spans="1:6" x14ac:dyDescent="0.25">
      <c r="A631">
        <f>IF(ISBLANK(B631),A630,IFERROR(INDEX(Reaches!$A$7:$A$60,MATCH(B631,Reaches!$B$7:$B$60,0)),-1))</f>
        <v>30</v>
      </c>
      <c r="C631" s="1" t="str">
        <f>IFERROR(INDEX(Reaches!$G$7:$G$60,MATCH(B631,Reaches!$B$7:$B$60,0)),"")</f>
        <v/>
      </c>
      <c r="D631" s="3">
        <v>5475</v>
      </c>
      <c r="E631">
        <v>20231</v>
      </c>
    </row>
    <row r="632" spans="1:6" x14ac:dyDescent="0.25">
      <c r="A632">
        <f>IF(ISBLANK(B632),A631,IFERROR(INDEX(Reaches!$A$7:$A$60,MATCH(B632,Reaches!$B$7:$B$60,0)),-1))</f>
        <v>30</v>
      </c>
      <c r="C632" s="1" t="str">
        <f>IFERROR(INDEX(Reaches!$G$7:$G$60,MATCH(B632,Reaches!$B$7:$B$60,0)),"")</f>
        <v/>
      </c>
      <c r="D632" s="3">
        <v>6565</v>
      </c>
      <c r="E632">
        <v>24466</v>
      </c>
    </row>
    <row r="633" spans="1:6" x14ac:dyDescent="0.25">
      <c r="A633">
        <f>IF(ISBLANK(B633),A632,IFERROR(INDEX(Reaches!$A$7:$A$60,MATCH(B633,Reaches!$B$7:$B$60,0)),-1))</f>
        <v>30</v>
      </c>
      <c r="C633" s="1" t="str">
        <f>IFERROR(INDEX(Reaches!$G$7:$G$60,MATCH(B633,Reaches!$B$7:$B$60,0)),"")</f>
        <v/>
      </c>
      <c r="D633" s="3">
        <v>7717</v>
      </c>
      <c r="E633">
        <v>28700</v>
      </c>
    </row>
    <row r="634" spans="1:6" x14ac:dyDescent="0.25">
      <c r="A634">
        <f>IF(ISBLANK(B634),A633,IFERROR(INDEX(Reaches!$A$7:$A$60,MATCH(B634,Reaches!$B$7:$B$60,0)),-1))</f>
        <v>30</v>
      </c>
      <c r="C634" s="1" t="str">
        <f>IFERROR(INDEX(Reaches!$G$7:$G$60,MATCH(B634,Reaches!$B$7:$B$60,0)),"")</f>
        <v/>
      </c>
      <c r="D634" s="3">
        <v>27671</v>
      </c>
      <c r="E634">
        <v>120000</v>
      </c>
    </row>
    <row r="635" spans="1:6" x14ac:dyDescent="0.25">
      <c r="A635">
        <f>IF(ISBLANK(B635),A634,IFERROR(INDEX(Reaches!$A$7:$A$60,MATCH(B635,Reaches!$B$7:$B$60,0)),-1))</f>
        <v>30</v>
      </c>
      <c r="C635" s="1" t="str">
        <f>IFERROR(INDEX(Reaches!$G$7:$G$60,MATCH(B635,Reaches!$B$7:$B$60,0)),"")</f>
        <v/>
      </c>
      <c r="D635" s="3">
        <v>51240</v>
      </c>
      <c r="E635">
        <v>200000</v>
      </c>
    </row>
    <row r="636" spans="1:6" x14ac:dyDescent="0.25">
      <c r="A636">
        <f>IF(ISBLANK(B636),A635,IFERROR(INDEX(Reaches!$A$7:$A$60,MATCH(B636,Reaches!$B$7:$B$60,0)),-1))</f>
        <v>30</v>
      </c>
      <c r="C636" s="1"/>
      <c r="D636">
        <f>ROUND(D635+(E636-E635)*(D635-D634)/(E635-E634),0)</f>
        <v>286930</v>
      </c>
      <c r="E636">
        <v>999999</v>
      </c>
    </row>
    <row r="637" spans="1:6" x14ac:dyDescent="0.25">
      <c r="A637">
        <f>IF(ISBLANK(B637),A636,IFERROR(INDEX(Reaches!$A$7:$A$60,MATCH(B637,Reaches!$B$7:$B$60,0)),-1))</f>
        <v>31</v>
      </c>
      <c r="B637" t="s">
        <v>17</v>
      </c>
      <c r="C637" s="1">
        <f>IFERROR(INDEX(Reaches!$G$7:$G$60,MATCH(B637,Reaches!$B$7:$B$60,0)),"")</f>
        <v>5</v>
      </c>
      <c r="D637" s="3">
        <v>0</v>
      </c>
      <c r="E637">
        <v>0</v>
      </c>
      <c r="F637" t="s">
        <v>228</v>
      </c>
    </row>
    <row r="638" spans="1:6" x14ac:dyDescent="0.25">
      <c r="A638">
        <f>IF(ISBLANK(B638),A637,IFERROR(INDEX(Reaches!$A$7:$A$60,MATCH(B638,Reaches!$B$7:$B$60,0)),-1))</f>
        <v>31</v>
      </c>
      <c r="C638" s="1" t="str">
        <f>IFERROR(INDEX(Reaches!$G$7:$G$60,MATCH(B638,Reaches!$B$7:$B$60,0)),"")</f>
        <v/>
      </c>
      <c r="D638" s="3">
        <v>37.96</v>
      </c>
      <c r="E638">
        <v>65</v>
      </c>
    </row>
    <row r="639" spans="1:6" x14ac:dyDescent="0.25">
      <c r="A639">
        <f>IF(ISBLANK(B639),A638,IFERROR(INDEX(Reaches!$A$7:$A$60,MATCH(B639,Reaches!$B$7:$B$60,0)),-1))</f>
        <v>31</v>
      </c>
      <c r="C639" s="1" t="str">
        <f>IFERROR(INDEX(Reaches!$G$7:$G$60,MATCH(B639,Reaches!$B$7:$B$60,0)),"")</f>
        <v/>
      </c>
      <c r="D639" s="3">
        <v>93.44</v>
      </c>
      <c r="E639">
        <v>160</v>
      </c>
    </row>
    <row r="640" spans="1:6" x14ac:dyDescent="0.25">
      <c r="A640">
        <f>IF(ISBLANK(B640),A639,IFERROR(INDEX(Reaches!$A$7:$A$60,MATCH(B640,Reaches!$B$7:$B$60,0)),-1))</f>
        <v>31</v>
      </c>
      <c r="C640" s="1" t="str">
        <f>IFERROR(INDEX(Reaches!$G$7:$G$60,MATCH(B640,Reaches!$B$7:$B$60,0)),"")</f>
        <v/>
      </c>
      <c r="D640" s="3">
        <v>148.91999999999999</v>
      </c>
      <c r="E640">
        <v>255</v>
      </c>
    </row>
    <row r="641" spans="1:5" x14ac:dyDescent="0.25">
      <c r="A641">
        <f>IF(ISBLANK(B641),A640,IFERROR(INDEX(Reaches!$A$7:$A$60,MATCH(B641,Reaches!$B$7:$B$60,0)),-1))</f>
        <v>31</v>
      </c>
      <c r="C641" s="1" t="str">
        <f>IFERROR(INDEX(Reaches!$G$7:$G$60,MATCH(B641,Reaches!$B$7:$B$60,0)),"")</f>
        <v/>
      </c>
      <c r="D641" s="3">
        <v>315.94399999999996</v>
      </c>
      <c r="E641">
        <v>541</v>
      </c>
    </row>
    <row r="642" spans="1:5" x14ac:dyDescent="0.25">
      <c r="A642">
        <f>IF(ISBLANK(B642),A641,IFERROR(INDEX(Reaches!$A$7:$A$60,MATCH(B642,Reaches!$B$7:$B$60,0)),-1))</f>
        <v>31</v>
      </c>
      <c r="C642" s="1" t="str">
        <f>IFERROR(INDEX(Reaches!$G$7:$G$60,MATCH(B642,Reaches!$B$7:$B$60,0)),"")</f>
        <v/>
      </c>
      <c r="D642" s="3">
        <v>454.93599999999998</v>
      </c>
      <c r="E642">
        <v>779</v>
      </c>
    </row>
    <row r="643" spans="1:5" x14ac:dyDescent="0.25">
      <c r="A643">
        <f>IF(ISBLANK(B643),A642,IFERROR(INDEX(Reaches!$A$7:$A$60,MATCH(B643,Reaches!$B$7:$B$60,0)),-1))</f>
        <v>31</v>
      </c>
      <c r="C643" s="1" t="str">
        <f>IFERROR(INDEX(Reaches!$G$7:$G$60,MATCH(B643,Reaches!$B$7:$B$60,0)),"")</f>
        <v/>
      </c>
      <c r="D643" s="3">
        <v>593.34399999999994</v>
      </c>
      <c r="E643">
        <v>1016</v>
      </c>
    </row>
    <row r="644" spans="1:5" x14ac:dyDescent="0.25">
      <c r="A644">
        <f>IF(ISBLANK(B644),A643,IFERROR(INDEX(Reaches!$A$7:$A$60,MATCH(B644,Reaches!$B$7:$B$60,0)),-1))</f>
        <v>31</v>
      </c>
      <c r="C644" s="1" t="str">
        <f>IFERROR(INDEX(Reaches!$G$7:$G$60,MATCH(B644,Reaches!$B$7:$B$60,0)),"")</f>
        <v/>
      </c>
      <c r="D644" s="3">
        <v>871.32799999999997</v>
      </c>
      <c r="E644">
        <v>1492</v>
      </c>
    </row>
    <row r="645" spans="1:5" x14ac:dyDescent="0.25">
      <c r="A645">
        <f>IF(ISBLANK(B645),A644,IFERROR(INDEX(Reaches!$A$7:$A$60,MATCH(B645,Reaches!$B$7:$B$60,0)),-1))</f>
        <v>31</v>
      </c>
      <c r="C645" s="1" t="str">
        <f>IFERROR(INDEX(Reaches!$G$7:$G$60,MATCH(B645,Reaches!$B$7:$B$60,0)),"")</f>
        <v/>
      </c>
      <c r="D645" s="3">
        <v>1149.3120000000001</v>
      </c>
      <c r="E645">
        <v>1968</v>
      </c>
    </row>
    <row r="646" spans="1:5" x14ac:dyDescent="0.25">
      <c r="A646">
        <f>IF(ISBLANK(B646),A645,IFERROR(INDEX(Reaches!$A$7:$A$60,MATCH(B646,Reaches!$B$7:$B$60,0)),-1))</f>
        <v>31</v>
      </c>
      <c r="C646" s="1" t="str">
        <f>IFERROR(INDEX(Reaches!$G$7:$G$60,MATCH(B646,Reaches!$B$7:$B$60,0)),"")</f>
        <v/>
      </c>
      <c r="D646" s="3">
        <v>1704.6959999999999</v>
      </c>
      <c r="E646">
        <v>2919</v>
      </c>
    </row>
    <row r="647" spans="1:5" x14ac:dyDescent="0.25">
      <c r="A647">
        <f>IF(ISBLANK(B647),A646,IFERROR(INDEX(Reaches!$A$7:$A$60,MATCH(B647,Reaches!$B$7:$B$60,0)),-1))</f>
        <v>31</v>
      </c>
      <c r="C647" s="1" t="str">
        <f>IFERROR(INDEX(Reaches!$G$7:$G$60,MATCH(B647,Reaches!$B$7:$B$60,0)),"")</f>
        <v/>
      </c>
      <c r="D647" s="3">
        <v>2816.0479999999998</v>
      </c>
      <c r="E647">
        <v>4822</v>
      </c>
    </row>
    <row r="648" spans="1:5" x14ac:dyDescent="0.25">
      <c r="A648">
        <f>IF(ISBLANK(B648),A647,IFERROR(INDEX(Reaches!$A$7:$A$60,MATCH(B648,Reaches!$B$7:$B$60,0)),-1))</f>
        <v>31</v>
      </c>
      <c r="C648" s="1" t="str">
        <f>IFERROR(INDEX(Reaches!$G$7:$G$60,MATCH(B648,Reaches!$B$7:$B$60,0)),"")</f>
        <v/>
      </c>
      <c r="D648" s="3">
        <v>4204.7999999999993</v>
      </c>
      <c r="E648">
        <v>7200</v>
      </c>
    </row>
    <row r="649" spans="1:5" x14ac:dyDescent="0.25">
      <c r="A649">
        <f>IF(ISBLANK(B649),A648,IFERROR(INDEX(Reaches!$A$7:$A$60,MATCH(B649,Reaches!$B$7:$B$60,0)),-1))</f>
        <v>31</v>
      </c>
      <c r="C649" s="1" t="str">
        <f>IFERROR(INDEX(Reaches!$G$7:$G$60,MATCH(B649,Reaches!$B$7:$B$60,0)),"")</f>
        <v/>
      </c>
      <c r="D649" s="3">
        <v>5593.5519999999997</v>
      </c>
      <c r="E649">
        <v>9578</v>
      </c>
    </row>
    <row r="650" spans="1:5" x14ac:dyDescent="0.25">
      <c r="A650">
        <f>IF(ISBLANK(B650),A649,IFERROR(INDEX(Reaches!$A$7:$A$60,MATCH(B650,Reaches!$B$7:$B$60,0)),-1))</f>
        <v>31</v>
      </c>
      <c r="C650" s="1" t="str">
        <f>IFERROR(INDEX(Reaches!$G$7:$G$60,MATCH(B650,Reaches!$B$7:$B$60,0)),"")</f>
        <v/>
      </c>
      <c r="D650" s="3">
        <v>6982.8879999999999</v>
      </c>
      <c r="E650">
        <v>11957</v>
      </c>
    </row>
    <row r="651" spans="1:5" x14ac:dyDescent="0.25">
      <c r="A651">
        <f>IF(ISBLANK(B651),A650,IFERROR(INDEX(Reaches!$A$7:$A$60,MATCH(B651,Reaches!$B$7:$B$60,0)),-1))</f>
        <v>31</v>
      </c>
      <c r="C651" s="1" t="str">
        <f>IFERROR(INDEX(Reaches!$G$7:$G$60,MATCH(B651,Reaches!$B$7:$B$60,0)),"")</f>
        <v/>
      </c>
      <c r="D651" s="3">
        <v>8371.6400000000012</v>
      </c>
      <c r="E651">
        <v>14335</v>
      </c>
    </row>
    <row r="652" spans="1:5" x14ac:dyDescent="0.25">
      <c r="A652">
        <f>IF(ISBLANK(B652),A651,IFERROR(INDEX(Reaches!$A$7:$A$60,MATCH(B652,Reaches!$B$7:$B$60,0)),-1))</f>
        <v>31</v>
      </c>
      <c r="C652" s="1" t="str">
        <f>IFERROR(INDEX(Reaches!$G$7:$G$60,MATCH(B652,Reaches!$B$7:$B$60,0)),"")</f>
        <v/>
      </c>
      <c r="D652" s="3">
        <v>11149.728000000001</v>
      </c>
      <c r="E652">
        <v>19092</v>
      </c>
    </row>
    <row r="653" spans="1:5" x14ac:dyDescent="0.25">
      <c r="A653">
        <f>IF(ISBLANK(B653),A652,IFERROR(INDEX(Reaches!$A$7:$A$60,MATCH(B653,Reaches!$B$7:$B$60,0)),-1))</f>
        <v>31</v>
      </c>
      <c r="C653" s="1" t="str">
        <f>IFERROR(INDEX(Reaches!$G$7:$G$60,MATCH(B653,Reaches!$B$7:$B$60,0)),"")</f>
        <v/>
      </c>
      <c r="D653" s="3">
        <v>13927.815999999999</v>
      </c>
      <c r="E653">
        <v>23849</v>
      </c>
    </row>
    <row r="654" spans="1:5" x14ac:dyDescent="0.25">
      <c r="A654">
        <f>IF(ISBLANK(B654),A653,IFERROR(INDEX(Reaches!$A$7:$A$60,MATCH(B654,Reaches!$B$7:$B$60,0)),-1))</f>
        <v>31</v>
      </c>
      <c r="C654" s="1" t="str">
        <f>IFERROR(INDEX(Reaches!$G$7:$G$60,MATCH(B654,Reaches!$B$7:$B$60,0)),"")</f>
        <v/>
      </c>
      <c r="D654" s="3">
        <v>16705.903999999999</v>
      </c>
      <c r="E654">
        <v>28606</v>
      </c>
    </row>
    <row r="655" spans="1:5" x14ac:dyDescent="0.25">
      <c r="A655">
        <f>IF(ISBLANK(B655),A654,IFERROR(INDEX(Reaches!$A$7:$A$60,MATCH(B655,Reaches!$B$7:$B$60,0)),-1))</f>
        <v>31</v>
      </c>
      <c r="C655" s="1" t="str">
        <f>IFERROR(INDEX(Reaches!$G$7:$G$60,MATCH(B655,Reaches!$B$7:$B$60,0)),"")</f>
        <v/>
      </c>
      <c r="D655" s="3">
        <v>19483.407999999999</v>
      </c>
      <c r="E655">
        <v>33362</v>
      </c>
    </row>
    <row r="656" spans="1:5" x14ac:dyDescent="0.25">
      <c r="A656">
        <f>IF(ISBLANK(B656),A655,IFERROR(INDEX(Reaches!$A$7:$A$60,MATCH(B656,Reaches!$B$7:$B$60,0)),-1))</f>
        <v>31</v>
      </c>
      <c r="C656" s="1" t="str">
        <f>IFERROR(INDEX(Reaches!$G$7:$G$60,MATCH(B656,Reaches!$B$7:$B$60,0)),"")</f>
        <v/>
      </c>
      <c r="D656" s="3">
        <v>22261.495999999999</v>
      </c>
      <c r="E656">
        <v>38119</v>
      </c>
    </row>
    <row r="657" spans="1:5" x14ac:dyDescent="0.25">
      <c r="A657">
        <f>IF(ISBLANK(B657),A656,IFERROR(INDEX(Reaches!$A$7:$A$60,MATCH(B657,Reaches!$B$7:$B$60,0)),-1))</f>
        <v>31</v>
      </c>
      <c r="C657" s="1" t="str">
        <f>IFERROR(INDEX(Reaches!$G$7:$G$60,MATCH(B657,Reaches!$B$7:$B$60,0)),"")</f>
        <v/>
      </c>
      <c r="D657" s="3">
        <v>27817.088</v>
      </c>
      <c r="E657">
        <v>47632</v>
      </c>
    </row>
    <row r="658" spans="1:5" x14ac:dyDescent="0.25">
      <c r="A658">
        <f>IF(ISBLANK(B658),A657,IFERROR(INDEX(Reaches!$A$7:$A$60,MATCH(B658,Reaches!$B$7:$B$60,0)),-1))</f>
        <v>31</v>
      </c>
      <c r="C658" s="1" t="str">
        <f>IFERROR(INDEX(Reaches!$G$7:$G$60,MATCH(B658,Reaches!$B$7:$B$60,0)),"")</f>
        <v/>
      </c>
      <c r="D658" s="3">
        <v>38929.440000000002</v>
      </c>
      <c r="E658">
        <v>66660</v>
      </c>
    </row>
    <row r="659" spans="1:5" x14ac:dyDescent="0.25">
      <c r="A659">
        <f>IF(ISBLANK(B659),A658,IFERROR(INDEX(Reaches!$A$7:$A$60,MATCH(B659,Reaches!$B$7:$B$60,0)),-1))</f>
        <v>31</v>
      </c>
      <c r="C659" s="1" t="str">
        <f>IFERROR(INDEX(Reaches!$G$7:$G$60,MATCH(B659,Reaches!$B$7:$B$60,0)),"")</f>
        <v/>
      </c>
      <c r="D659" s="3">
        <v>47263.12</v>
      </c>
      <c r="E659">
        <v>80930</v>
      </c>
    </row>
    <row r="660" spans="1:5" x14ac:dyDescent="0.25">
      <c r="A660">
        <f>IF(ISBLANK(B660),A659,IFERROR(INDEX(Reaches!$A$7:$A$60,MATCH(B660,Reaches!$B$7:$B$60,0)),-1))</f>
        <v>31</v>
      </c>
      <c r="C660" s="1" t="str">
        <f>IFERROR(INDEX(Reaches!$G$7:$G$60,MATCH(B660,Reaches!$B$7:$B$60,0)),"")</f>
        <v/>
      </c>
      <c r="D660" s="3">
        <v>55596.800000000003</v>
      </c>
      <c r="E660">
        <v>95200</v>
      </c>
    </row>
    <row r="661" spans="1:5" x14ac:dyDescent="0.25">
      <c r="A661">
        <f>IF(ISBLANK(B661),A660,IFERROR(INDEX(Reaches!$A$7:$A$60,MATCH(B661,Reaches!$B$7:$B$60,0)),-1))</f>
        <v>31</v>
      </c>
      <c r="C661" s="1" t="str">
        <f>IFERROR(INDEX(Reaches!$G$7:$G$60,MATCH(B661,Reaches!$B$7:$B$60,0)),"")</f>
        <v/>
      </c>
      <c r="D661" s="3">
        <v>70080</v>
      </c>
      <c r="E661">
        <v>120000</v>
      </c>
    </row>
    <row r="662" spans="1:5" x14ac:dyDescent="0.25">
      <c r="A662">
        <f>IF(ISBLANK(B662),A661,IFERROR(INDEX(Reaches!$A$7:$A$60,MATCH(B662,Reaches!$B$7:$B$60,0)),-1))</f>
        <v>31</v>
      </c>
      <c r="C662" s="1" t="str">
        <f>IFERROR(INDEX(Reaches!$G$7:$G$60,MATCH(B662,Reaches!$B$7:$B$60,0)),"")</f>
        <v/>
      </c>
      <c r="D662" s="3">
        <v>116800</v>
      </c>
      <c r="E662">
        <v>200000</v>
      </c>
    </row>
    <row r="663" spans="1:5" x14ac:dyDescent="0.25">
      <c r="A663">
        <f>IF(ISBLANK(B663),A662,IFERROR(INDEX(Reaches!$A$7:$A$60,MATCH(B663,Reaches!$B$7:$B$60,0)),-1))</f>
        <v>31</v>
      </c>
      <c r="C663" s="1"/>
      <c r="D663">
        <f>ROUND(D662+(E663-E662)*(D662-D661)/(E662-E661),0)</f>
        <v>583999</v>
      </c>
      <c r="E663">
        <v>999999</v>
      </c>
    </row>
    <row r="664" spans="1:5" x14ac:dyDescent="0.25">
      <c r="A664">
        <f>IF(ISBLANK(B664),A663,IFERROR(INDEX(Reaches!$A$7:$A$60,MATCH(B664,Reaches!$B$7:$B$60,0)),-1))</f>
        <v>32</v>
      </c>
      <c r="B664" t="s">
        <v>102</v>
      </c>
      <c r="C664" s="1">
        <f>IFERROR(INDEX(Reaches!$G$7:$G$60,MATCH(B664,Reaches!$B$7:$B$60,0)),"")</f>
        <v>5</v>
      </c>
      <c r="D664" s="3">
        <v>0</v>
      </c>
      <c r="E664">
        <v>0</v>
      </c>
    </row>
    <row r="665" spans="1:5" x14ac:dyDescent="0.25">
      <c r="A665">
        <f>IF(ISBLANK(B665),A664,IFERROR(INDEX(Reaches!$A$7:$A$60,MATCH(B665,Reaches!$B$7:$B$60,0)),-1))</f>
        <v>32</v>
      </c>
      <c r="C665" s="1" t="str">
        <f>IFERROR(INDEX(Reaches!$G$7:$G$60,MATCH(B665,Reaches!$B$7:$B$60,0)),"")</f>
        <v/>
      </c>
      <c r="D665" s="3">
        <v>394</v>
      </c>
      <c r="E665">
        <v>400</v>
      </c>
    </row>
    <row r="666" spans="1:5" x14ac:dyDescent="0.25">
      <c r="A666">
        <f>IF(ISBLANK(B666),A665,IFERROR(INDEX(Reaches!$A$7:$A$60,MATCH(B666,Reaches!$B$7:$B$60,0)),-1))</f>
        <v>32</v>
      </c>
      <c r="C666" s="1" t="str">
        <f>IFERROR(INDEX(Reaches!$G$7:$G$60,MATCH(B666,Reaches!$B$7:$B$60,0)),"")</f>
        <v/>
      </c>
      <c r="D666" s="3">
        <v>429</v>
      </c>
      <c r="E666">
        <v>463</v>
      </c>
    </row>
    <row r="667" spans="1:5" x14ac:dyDescent="0.25">
      <c r="A667">
        <f>IF(ISBLANK(B667),A666,IFERROR(INDEX(Reaches!$A$7:$A$60,MATCH(B667,Reaches!$B$7:$B$60,0)),-1))</f>
        <v>32</v>
      </c>
      <c r="C667" s="1" t="str">
        <f>IFERROR(INDEX(Reaches!$G$7:$G$60,MATCH(B667,Reaches!$B$7:$B$60,0)),"")</f>
        <v/>
      </c>
      <c r="D667" s="3">
        <v>463</v>
      </c>
      <c r="E667">
        <v>526</v>
      </c>
    </row>
    <row r="668" spans="1:5" x14ac:dyDescent="0.25">
      <c r="A668">
        <f>IF(ISBLANK(B668),A667,IFERROR(INDEX(Reaches!$A$7:$A$60,MATCH(B668,Reaches!$B$7:$B$60,0)),-1))</f>
        <v>32</v>
      </c>
      <c r="C668" s="1" t="str">
        <f>IFERROR(INDEX(Reaches!$G$7:$G$60,MATCH(B668,Reaches!$B$7:$B$60,0)),"")</f>
        <v/>
      </c>
      <c r="D668" s="3">
        <v>557</v>
      </c>
      <c r="E668">
        <v>714</v>
      </c>
    </row>
    <row r="669" spans="1:5" x14ac:dyDescent="0.25">
      <c r="A669">
        <f>IF(ISBLANK(B669),A668,IFERROR(INDEX(Reaches!$A$7:$A$60,MATCH(B669,Reaches!$B$7:$B$60,0)),-1))</f>
        <v>32</v>
      </c>
      <c r="C669" s="1" t="str">
        <f>IFERROR(INDEX(Reaches!$G$7:$G$60,MATCH(B669,Reaches!$B$7:$B$60,0)),"")</f>
        <v/>
      </c>
      <c r="D669" s="3">
        <v>628</v>
      </c>
      <c r="E669">
        <v>871</v>
      </c>
    </row>
    <row r="670" spans="1:5" x14ac:dyDescent="0.25">
      <c r="A670">
        <f>IF(ISBLANK(B670),A669,IFERROR(INDEX(Reaches!$A$7:$A$60,MATCH(B670,Reaches!$B$7:$B$60,0)),-1))</f>
        <v>32</v>
      </c>
      <c r="C670" s="1" t="str">
        <f>IFERROR(INDEX(Reaches!$G$7:$G$60,MATCH(B670,Reaches!$B$7:$B$60,0)),"")</f>
        <v/>
      </c>
      <c r="D670" s="3">
        <v>695</v>
      </c>
      <c r="E670">
        <v>1028</v>
      </c>
    </row>
    <row r="671" spans="1:5" x14ac:dyDescent="0.25">
      <c r="A671">
        <f>IF(ISBLANK(B671),A670,IFERROR(INDEX(Reaches!$A$7:$A$60,MATCH(B671,Reaches!$B$7:$B$60,0)),-1))</f>
        <v>32</v>
      </c>
      <c r="C671" s="1" t="str">
        <f>IFERROR(INDEX(Reaches!$G$7:$G$60,MATCH(B671,Reaches!$B$7:$B$60,0)),"")</f>
        <v/>
      </c>
      <c r="D671" s="3">
        <v>822</v>
      </c>
      <c r="E671">
        <v>1342</v>
      </c>
    </row>
    <row r="672" spans="1:5" x14ac:dyDescent="0.25">
      <c r="A672">
        <f>IF(ISBLANK(B672),A671,IFERROR(INDEX(Reaches!$A$7:$A$60,MATCH(B672,Reaches!$B$7:$B$60,0)),-1))</f>
        <v>32</v>
      </c>
      <c r="C672" s="1" t="str">
        <f>IFERROR(INDEX(Reaches!$G$7:$G$60,MATCH(B672,Reaches!$B$7:$B$60,0)),"")</f>
        <v/>
      </c>
      <c r="D672" s="3">
        <v>939</v>
      </c>
      <c r="E672">
        <v>1656</v>
      </c>
    </row>
    <row r="673" spans="1:5" x14ac:dyDescent="0.25">
      <c r="A673">
        <f>IF(ISBLANK(B673),A672,IFERROR(INDEX(Reaches!$A$7:$A$60,MATCH(B673,Reaches!$B$7:$B$60,0)),-1))</f>
        <v>32</v>
      </c>
      <c r="C673" s="1" t="str">
        <f>IFERROR(INDEX(Reaches!$G$7:$G$60,MATCH(B673,Reaches!$B$7:$B$60,0)),"")</f>
        <v/>
      </c>
      <c r="D673" s="3">
        <v>1155</v>
      </c>
      <c r="E673">
        <v>2284</v>
      </c>
    </row>
    <row r="674" spans="1:5" x14ac:dyDescent="0.25">
      <c r="A674">
        <f>IF(ISBLANK(B674),A673,IFERROR(INDEX(Reaches!$A$7:$A$60,MATCH(B674,Reaches!$B$7:$B$60,0)),-1))</f>
        <v>32</v>
      </c>
      <c r="C674" s="1" t="str">
        <f>IFERROR(INDEX(Reaches!$G$7:$G$60,MATCH(B674,Reaches!$B$7:$B$60,0)),"")</f>
        <v/>
      </c>
      <c r="D674" s="3">
        <v>1541</v>
      </c>
      <c r="E674">
        <v>3540</v>
      </c>
    </row>
    <row r="675" spans="1:5" x14ac:dyDescent="0.25">
      <c r="A675">
        <f>IF(ISBLANK(B675),A674,IFERROR(INDEX(Reaches!$A$7:$A$60,MATCH(B675,Reaches!$B$7:$B$60,0)),-1))</f>
        <v>32</v>
      </c>
      <c r="C675" s="1" t="str">
        <f>IFERROR(INDEX(Reaches!$G$7:$G$60,MATCH(B675,Reaches!$B$7:$B$60,0)),"")</f>
        <v/>
      </c>
      <c r="D675" s="3">
        <v>1978</v>
      </c>
      <c r="E675">
        <v>5110</v>
      </c>
    </row>
    <row r="676" spans="1:5" x14ac:dyDescent="0.25">
      <c r="A676">
        <f>IF(ISBLANK(B676),A675,IFERROR(INDEX(Reaches!$A$7:$A$60,MATCH(B676,Reaches!$B$7:$B$60,0)),-1))</f>
        <v>32</v>
      </c>
      <c r="C676" s="1" t="str">
        <f>IFERROR(INDEX(Reaches!$G$7:$G$60,MATCH(B676,Reaches!$B$7:$B$60,0)),"")</f>
        <v/>
      </c>
      <c r="D676" s="3">
        <v>2373</v>
      </c>
      <c r="E676">
        <v>6680</v>
      </c>
    </row>
    <row r="677" spans="1:5" x14ac:dyDescent="0.25">
      <c r="A677">
        <f>IF(ISBLANK(B677),A676,IFERROR(INDEX(Reaches!$A$7:$A$60,MATCH(B677,Reaches!$B$7:$B$60,0)),-1))</f>
        <v>32</v>
      </c>
      <c r="C677" s="1" t="str">
        <f>IFERROR(INDEX(Reaches!$G$7:$G$60,MATCH(B677,Reaches!$B$7:$B$60,0)),"")</f>
        <v/>
      </c>
      <c r="D677" s="3">
        <v>2745</v>
      </c>
      <c r="E677">
        <v>8250</v>
      </c>
    </row>
    <row r="678" spans="1:5" x14ac:dyDescent="0.25">
      <c r="A678">
        <f>IF(ISBLANK(B678),A677,IFERROR(INDEX(Reaches!$A$7:$A$60,MATCH(B678,Reaches!$B$7:$B$60,0)),-1))</f>
        <v>32</v>
      </c>
      <c r="C678" s="1" t="str">
        <f>IFERROR(INDEX(Reaches!$G$7:$G$60,MATCH(B678,Reaches!$B$7:$B$60,0)),"")</f>
        <v/>
      </c>
      <c r="D678" s="3">
        <v>3102</v>
      </c>
      <c r="E678">
        <v>9820</v>
      </c>
    </row>
    <row r="679" spans="1:5" x14ac:dyDescent="0.25">
      <c r="A679">
        <f>IF(ISBLANK(B679),A678,IFERROR(INDEX(Reaches!$A$7:$A$60,MATCH(B679,Reaches!$B$7:$B$60,0)),-1))</f>
        <v>32</v>
      </c>
      <c r="C679" s="1" t="str">
        <f>IFERROR(INDEX(Reaches!$G$7:$G$60,MATCH(B679,Reaches!$B$7:$B$60,0)),"")</f>
        <v/>
      </c>
      <c r="D679" s="3">
        <v>3793</v>
      </c>
      <c r="E679">
        <v>12960</v>
      </c>
    </row>
    <row r="680" spans="1:5" x14ac:dyDescent="0.25">
      <c r="A680">
        <f>IF(ISBLANK(B680),A679,IFERROR(INDEX(Reaches!$A$7:$A$60,MATCH(B680,Reaches!$B$7:$B$60,0)),-1))</f>
        <v>32</v>
      </c>
      <c r="C680" s="1" t="str">
        <f>IFERROR(INDEX(Reaches!$G$7:$G$60,MATCH(B680,Reaches!$B$7:$B$60,0)),"")</f>
        <v/>
      </c>
      <c r="D680" s="3">
        <v>4466</v>
      </c>
      <c r="E680">
        <v>16100</v>
      </c>
    </row>
    <row r="681" spans="1:5" x14ac:dyDescent="0.25">
      <c r="A681">
        <f>IF(ISBLANK(B681),A680,IFERROR(INDEX(Reaches!$A$7:$A$60,MATCH(B681,Reaches!$B$7:$B$60,0)),-1))</f>
        <v>32</v>
      </c>
      <c r="C681" s="1" t="str">
        <f>IFERROR(INDEX(Reaches!$G$7:$G$60,MATCH(B681,Reaches!$B$7:$B$60,0)),"")</f>
        <v/>
      </c>
      <c r="D681" s="3">
        <v>5100</v>
      </c>
      <c r="E681">
        <v>19240</v>
      </c>
    </row>
    <row r="682" spans="1:5" x14ac:dyDescent="0.25">
      <c r="A682">
        <f>IF(ISBLANK(B682),A681,IFERROR(INDEX(Reaches!$A$7:$A$60,MATCH(B682,Reaches!$B$7:$B$60,0)),-1))</f>
        <v>32</v>
      </c>
      <c r="C682" s="1" t="str">
        <f>IFERROR(INDEX(Reaches!$G$7:$G$60,MATCH(B682,Reaches!$B$7:$B$60,0)),"")</f>
        <v/>
      </c>
      <c r="D682" s="3">
        <v>5712</v>
      </c>
      <c r="E682">
        <v>22380</v>
      </c>
    </row>
    <row r="683" spans="1:5" x14ac:dyDescent="0.25">
      <c r="A683">
        <f>IF(ISBLANK(B683),A682,IFERROR(INDEX(Reaches!$A$7:$A$60,MATCH(B683,Reaches!$B$7:$B$60,0)),-1))</f>
        <v>32</v>
      </c>
      <c r="C683" s="1" t="str">
        <f>IFERROR(INDEX(Reaches!$G$7:$G$60,MATCH(B683,Reaches!$B$7:$B$60,0)),"")</f>
        <v/>
      </c>
      <c r="D683" s="3">
        <v>6309</v>
      </c>
      <c r="E683">
        <v>25520</v>
      </c>
    </row>
    <row r="684" spans="1:5" x14ac:dyDescent="0.25">
      <c r="A684">
        <f>IF(ISBLANK(B684),A683,IFERROR(INDEX(Reaches!$A$7:$A$60,MATCH(B684,Reaches!$B$7:$B$60,0)),-1))</f>
        <v>32</v>
      </c>
      <c r="C684" s="1" t="str">
        <f>IFERROR(INDEX(Reaches!$G$7:$G$60,MATCH(B684,Reaches!$B$7:$B$60,0)),"")</f>
        <v/>
      </c>
      <c r="D684" s="3">
        <v>7517</v>
      </c>
      <c r="E684">
        <v>31800</v>
      </c>
    </row>
    <row r="685" spans="1:5" x14ac:dyDescent="0.25">
      <c r="A685">
        <f>IF(ISBLANK(B685),A684,IFERROR(INDEX(Reaches!$A$7:$A$60,MATCH(B685,Reaches!$B$7:$B$60,0)),-1))</f>
        <v>32</v>
      </c>
      <c r="C685" s="1" t="str">
        <f>IFERROR(INDEX(Reaches!$G$7:$G$60,MATCH(B685,Reaches!$B$7:$B$60,0)),"")</f>
        <v/>
      </c>
      <c r="D685" s="3">
        <v>9808</v>
      </c>
      <c r="E685">
        <v>44360</v>
      </c>
    </row>
    <row r="686" spans="1:5" x14ac:dyDescent="0.25">
      <c r="A686">
        <f>IF(ISBLANK(B686),A685,IFERROR(INDEX(Reaches!$A$7:$A$60,MATCH(B686,Reaches!$B$7:$B$60,0)),-1))</f>
        <v>32</v>
      </c>
      <c r="C686" s="1" t="str">
        <f>IFERROR(INDEX(Reaches!$G$7:$G$60,MATCH(B686,Reaches!$B$7:$B$60,0)),"")</f>
        <v/>
      </c>
      <c r="D686" s="3">
        <v>11505</v>
      </c>
      <c r="E686">
        <v>53780</v>
      </c>
    </row>
    <row r="687" spans="1:5" x14ac:dyDescent="0.25">
      <c r="A687">
        <f>IF(ISBLANK(B687),A686,IFERROR(INDEX(Reaches!$A$7:$A$60,MATCH(B687,Reaches!$B$7:$B$60,0)),-1))</f>
        <v>32</v>
      </c>
      <c r="C687" s="1" t="str">
        <f>IFERROR(INDEX(Reaches!$G$7:$G$60,MATCH(B687,Reaches!$B$7:$B$60,0)),"")</f>
        <v/>
      </c>
      <c r="D687" s="3">
        <v>13238</v>
      </c>
      <c r="E687">
        <v>63200</v>
      </c>
    </row>
    <row r="688" spans="1:5" x14ac:dyDescent="0.25">
      <c r="A688">
        <f>IF(ISBLANK(B688),A687,IFERROR(INDEX(Reaches!$A$7:$A$60,MATCH(B688,Reaches!$B$7:$B$60,0)),-1))</f>
        <v>32</v>
      </c>
      <c r="C688" s="1" t="str">
        <f>IFERROR(INDEX(Reaches!$G$7:$G$60,MATCH(B688,Reaches!$B$7:$B$60,0)),"")</f>
        <v/>
      </c>
      <c r="D688" s="3">
        <v>20255</v>
      </c>
      <c r="E688">
        <v>100000</v>
      </c>
    </row>
    <row r="689" spans="1:6" x14ac:dyDescent="0.25">
      <c r="A689">
        <f>IF(ISBLANK(B689),A688,IFERROR(INDEX(Reaches!$A$7:$A$60,MATCH(B689,Reaches!$B$7:$B$60,0)),-1))</f>
        <v>32</v>
      </c>
      <c r="C689" s="1" t="str">
        <f>IFERROR(INDEX(Reaches!$G$7:$G$60,MATCH(B689,Reaches!$B$7:$B$60,0)),"")</f>
        <v/>
      </c>
      <c r="D689" s="3">
        <v>35189</v>
      </c>
      <c r="E689">
        <v>175000</v>
      </c>
    </row>
    <row r="690" spans="1:6" x14ac:dyDescent="0.25">
      <c r="A690">
        <f>IF(ISBLANK(B690),A689,IFERROR(INDEX(Reaches!$A$7:$A$60,MATCH(B690,Reaches!$B$7:$B$60,0)),-1))</f>
        <v>32</v>
      </c>
      <c r="C690" s="1"/>
      <c r="D690">
        <f>ROUND(D689+(E690-E689)*(D689-D688)/(E689-E688),0)</f>
        <v>199463</v>
      </c>
      <c r="E690">
        <v>999999</v>
      </c>
    </row>
    <row r="691" spans="1:6" x14ac:dyDescent="0.25">
      <c r="A691">
        <f>IF(ISBLANK(B691),A689,IFERROR(INDEX(Reaches!$A$7:$A$60,MATCH(B691,Reaches!$B$7:$B$60,0)),-1))</f>
        <v>33</v>
      </c>
      <c r="B691" t="s">
        <v>15</v>
      </c>
      <c r="C691" s="1">
        <f>IFERROR(INDEX(Reaches!$G$7:$G$60,MATCH(B691,Reaches!$B$7:$B$60,0)),"")</f>
        <v>6</v>
      </c>
      <c r="D691" s="3">
        <v>0</v>
      </c>
      <c r="E691">
        <v>0</v>
      </c>
      <c r="F691" t="s">
        <v>228</v>
      </c>
    </row>
    <row r="692" spans="1:6" x14ac:dyDescent="0.25">
      <c r="A692">
        <f>IF(ISBLANK(B692),A691,IFERROR(INDEX(Reaches!$A$7:$A$60,MATCH(B692,Reaches!$B$7:$B$60,0)),-1))</f>
        <v>33</v>
      </c>
      <c r="C692" s="1" t="str">
        <f>IFERROR(INDEX(Reaches!$G$7:$G$60,MATCH(B692,Reaches!$B$7:$B$60,0)),"")</f>
        <v/>
      </c>
      <c r="D692" s="3">
        <v>611.47058823529414</v>
      </c>
      <c r="E692">
        <v>450</v>
      </c>
    </row>
    <row r="693" spans="1:6" x14ac:dyDescent="0.25">
      <c r="A693">
        <f>IF(ISBLANK(B693),A692,IFERROR(INDEX(Reaches!$A$7:$A$60,MATCH(B693,Reaches!$B$7:$B$60,0)),-1))</f>
        <v>33</v>
      </c>
      <c r="C693" s="1" t="str">
        <f>IFERROR(INDEX(Reaches!$G$7:$G$60,MATCH(B693,Reaches!$B$7:$B$60,0)),"")</f>
        <v/>
      </c>
      <c r="D693" s="3">
        <v>699.25058823529412</v>
      </c>
      <c r="E693">
        <v>526</v>
      </c>
    </row>
    <row r="694" spans="1:6" x14ac:dyDescent="0.25">
      <c r="A694">
        <f>IF(ISBLANK(B694),A693,IFERROR(INDEX(Reaches!$A$7:$A$60,MATCH(B694,Reaches!$B$7:$B$60,0)),-1))</f>
        <v>33</v>
      </c>
      <c r="C694" s="1" t="str">
        <f>IFERROR(INDEX(Reaches!$G$7:$G$60,MATCH(B694,Reaches!$B$7:$B$60,0)),"")</f>
        <v/>
      </c>
      <c r="D694" s="3">
        <v>779.05058823529419</v>
      </c>
      <c r="E694">
        <v>602</v>
      </c>
    </row>
    <row r="695" spans="1:6" x14ac:dyDescent="0.25">
      <c r="A695">
        <f>IF(ISBLANK(B695),A694,IFERROR(INDEX(Reaches!$A$7:$A$60,MATCH(B695,Reaches!$B$7:$B$60,0)),-1))</f>
        <v>33</v>
      </c>
      <c r="C695" s="1" t="str">
        <f>IFERROR(INDEX(Reaches!$G$7:$G$60,MATCH(B695,Reaches!$B$7:$B$60,0)),"")</f>
        <v/>
      </c>
      <c r="D695" s="3">
        <v>1009.0462404092073</v>
      </c>
      <c r="E695">
        <v>831</v>
      </c>
    </row>
    <row r="696" spans="1:6" x14ac:dyDescent="0.25">
      <c r="A696">
        <f>IF(ISBLANK(B696),A695,IFERROR(INDEX(Reaches!$A$7:$A$60,MATCH(B696,Reaches!$B$7:$B$60,0)),-1))</f>
        <v>33</v>
      </c>
      <c r="C696" s="1" t="str">
        <f>IFERROR(INDEX(Reaches!$G$7:$G$60,MATCH(B696,Reaches!$B$7:$B$60,0)),"")</f>
        <v/>
      </c>
      <c r="D696" s="3">
        <v>1191.9212404092073</v>
      </c>
      <c r="E696">
        <v>1021</v>
      </c>
    </row>
    <row r="697" spans="1:6" x14ac:dyDescent="0.25">
      <c r="A697">
        <f>IF(ISBLANK(B697),A696,IFERROR(INDEX(Reaches!$A$7:$A$60,MATCH(B697,Reaches!$B$7:$B$60,0)),-1))</f>
        <v>33</v>
      </c>
      <c r="C697" s="1" t="str">
        <f>IFERROR(INDEX(Reaches!$G$7:$G$60,MATCH(B697,Reaches!$B$7:$B$60,0)),"")</f>
        <v/>
      </c>
      <c r="D697" s="3">
        <v>1361.6173942553612</v>
      </c>
      <c r="E697">
        <v>1212</v>
      </c>
    </row>
    <row r="698" spans="1:6" x14ac:dyDescent="0.25">
      <c r="A698">
        <f>IF(ISBLANK(B698),A697,IFERROR(INDEX(Reaches!$A$7:$A$60,MATCH(B698,Reaches!$B$7:$B$60,0)),-1))</f>
        <v>33</v>
      </c>
      <c r="C698" s="1" t="str">
        <f>IFERROR(INDEX(Reaches!$G$7:$G$60,MATCH(B698,Reaches!$B$7:$B$60,0)),"")</f>
        <v/>
      </c>
      <c r="D698" s="3">
        <v>1664.3070494277749</v>
      </c>
      <c r="E698">
        <v>1592</v>
      </c>
    </row>
    <row r="699" spans="1:6" x14ac:dyDescent="0.25">
      <c r="A699">
        <f>IF(ISBLANK(B699),A698,IFERROR(INDEX(Reaches!$A$7:$A$60,MATCH(B699,Reaches!$B$7:$B$60,0)),-1))</f>
        <v>33</v>
      </c>
      <c r="C699" s="1" t="str">
        <f>IFERROR(INDEX(Reaches!$G$7:$G$60,MATCH(B699,Reaches!$B$7:$B$60,0)),"")</f>
        <v/>
      </c>
      <c r="D699" s="3">
        <v>1948.2135010406785</v>
      </c>
      <c r="E699">
        <v>1973</v>
      </c>
    </row>
    <row r="700" spans="1:6" x14ac:dyDescent="0.25">
      <c r="A700">
        <f>IF(ISBLANK(B700),A699,IFERROR(INDEX(Reaches!$A$7:$A$60,MATCH(B700,Reaches!$B$7:$B$60,0)),-1))</f>
        <v>33</v>
      </c>
      <c r="C700" s="1" t="str">
        <f>IFERROR(INDEX(Reaches!$G$7:$G$60,MATCH(B700,Reaches!$B$7:$B$60,0)),"")</f>
        <v/>
      </c>
      <c r="D700" s="3">
        <v>2450.4735010406785</v>
      </c>
      <c r="E700">
        <v>2734</v>
      </c>
    </row>
    <row r="701" spans="1:6" x14ac:dyDescent="0.25">
      <c r="A701">
        <f>IF(ISBLANK(B701),A700,IFERROR(INDEX(Reaches!$A$7:$A$60,MATCH(B701,Reaches!$B$7:$B$60,0)),-1))</f>
        <v>33</v>
      </c>
      <c r="C701" s="1" t="str">
        <f>IFERROR(INDEX(Reaches!$G$7:$G$60,MATCH(B701,Reaches!$B$7:$B$60,0)),"")</f>
        <v/>
      </c>
      <c r="D701" s="3">
        <v>3401.9437713109487</v>
      </c>
      <c r="E701">
        <v>4258</v>
      </c>
    </row>
    <row r="702" spans="1:6" x14ac:dyDescent="0.25">
      <c r="A702">
        <f>IF(ISBLANK(B702),A701,IFERROR(INDEX(Reaches!$A$7:$A$60,MATCH(B702,Reaches!$B$7:$B$60,0)),-1))</f>
        <v>33</v>
      </c>
      <c r="C702" s="1" t="str">
        <f>IFERROR(INDEX(Reaches!$G$7:$G$60,MATCH(B702,Reaches!$B$7:$B$60,0)),"")</f>
        <v/>
      </c>
      <c r="D702" s="3">
        <v>4500.9262713109483</v>
      </c>
      <c r="E702">
        <v>6161</v>
      </c>
    </row>
    <row r="703" spans="1:6" x14ac:dyDescent="0.25">
      <c r="A703">
        <f>IF(ISBLANK(B703),A702,IFERROR(INDEX(Reaches!$A$7:$A$60,MATCH(B703,Reaches!$B$7:$B$60,0)),-1))</f>
        <v>33</v>
      </c>
      <c r="C703" s="1" t="str">
        <f>IFERROR(INDEX(Reaches!$G$7:$G$60,MATCH(B703,Reaches!$B$7:$B$60,0)),"")</f>
        <v/>
      </c>
      <c r="D703" s="3">
        <v>5600.4862713109487</v>
      </c>
      <c r="E703">
        <v>8065</v>
      </c>
    </row>
    <row r="704" spans="1:6" x14ac:dyDescent="0.25">
      <c r="A704">
        <f>IF(ISBLANK(B704),A703,IFERROR(INDEX(Reaches!$A$7:$A$60,MATCH(B704,Reaches!$B$7:$B$60,0)),-1))</f>
        <v>33</v>
      </c>
      <c r="C704" s="1" t="str">
        <f>IFERROR(INDEX(Reaches!$G$7:$G$60,MATCH(B704,Reaches!$B$7:$B$60,0)),"")</f>
        <v/>
      </c>
      <c r="D704" s="3">
        <v>6700.0462713109482</v>
      </c>
      <c r="E704">
        <v>9969</v>
      </c>
    </row>
    <row r="705" spans="1:6" x14ac:dyDescent="0.25">
      <c r="A705">
        <f>IF(ISBLANK(B705),A704,IFERROR(INDEX(Reaches!$A$7:$A$60,MATCH(B705,Reaches!$B$7:$B$60,0)),-1))</f>
        <v>33</v>
      </c>
      <c r="C705" s="1" t="str">
        <f>IFERROR(INDEX(Reaches!$G$7:$G$60,MATCH(B705,Reaches!$B$7:$B$60,0)),"")</f>
        <v/>
      </c>
      <c r="D705" s="3">
        <v>7676.9196046442821</v>
      </c>
      <c r="E705">
        <v>11872</v>
      </c>
    </row>
    <row r="706" spans="1:6" x14ac:dyDescent="0.25">
      <c r="A706">
        <f>IF(ISBLANK(B706),A705,IFERROR(INDEX(Reaches!$A$7:$A$60,MATCH(B706,Reaches!$B$7:$B$60,0)),-1))</f>
        <v>33</v>
      </c>
      <c r="C706" s="1" t="str">
        <f>IFERROR(INDEX(Reaches!$G$7:$G$60,MATCH(B706,Reaches!$B$7:$B$60,0)),"")</f>
        <v/>
      </c>
      <c r="D706" s="3">
        <v>9436.2156046442833</v>
      </c>
      <c r="E706">
        <v>15680</v>
      </c>
    </row>
    <row r="707" spans="1:6" x14ac:dyDescent="0.25">
      <c r="A707">
        <f>IF(ISBLANK(B707),A706,IFERROR(INDEX(Reaches!$A$7:$A$60,MATCH(B707,Reaches!$B$7:$B$60,0)),-1))</f>
        <v>33</v>
      </c>
      <c r="C707" s="1" t="str">
        <f>IFERROR(INDEX(Reaches!$G$7:$G$60,MATCH(B707,Reaches!$B$7:$B$60,0)),"")</f>
        <v/>
      </c>
      <c r="D707" s="3">
        <v>11195.511604644282</v>
      </c>
      <c r="E707">
        <v>19488</v>
      </c>
    </row>
    <row r="708" spans="1:6" x14ac:dyDescent="0.25">
      <c r="A708">
        <f>IF(ISBLANK(B708),A707,IFERROR(INDEX(Reaches!$A$7:$A$60,MATCH(B708,Reaches!$B$7:$B$60,0)),-1))</f>
        <v>33</v>
      </c>
      <c r="C708" s="1" t="str">
        <f>IFERROR(INDEX(Reaches!$G$7:$G$60,MATCH(B708,Reaches!$B$7:$B$60,0)),"")</f>
        <v/>
      </c>
      <c r="D708" s="3">
        <v>12954.345604644283</v>
      </c>
      <c r="E708">
        <v>23295</v>
      </c>
    </row>
    <row r="709" spans="1:6" x14ac:dyDescent="0.25">
      <c r="A709">
        <f>IF(ISBLANK(B709),A708,IFERROR(INDEX(Reaches!$A$7:$A$60,MATCH(B709,Reaches!$B$7:$B$60,0)),-1))</f>
        <v>33</v>
      </c>
      <c r="C709" s="1" t="str">
        <f>IFERROR(INDEX(Reaches!$G$7:$G$60,MATCH(B709,Reaches!$B$7:$B$60,0)),"")</f>
        <v/>
      </c>
      <c r="D709" s="3">
        <v>14713.179604644281</v>
      </c>
      <c r="E709">
        <v>27102</v>
      </c>
    </row>
    <row r="710" spans="1:6" x14ac:dyDescent="0.25">
      <c r="A710">
        <f>IF(ISBLANK(B710),A709,IFERROR(INDEX(Reaches!$A$7:$A$60,MATCH(B710,Reaches!$B$7:$B$60,0)),-1))</f>
        <v>33</v>
      </c>
      <c r="C710" s="1" t="str">
        <f>IFERROR(INDEX(Reaches!$G$7:$G$60,MATCH(B710,Reaches!$B$7:$B$60,0)),"")</f>
        <v/>
      </c>
      <c r="D710" s="3">
        <v>16667.952937977618</v>
      </c>
      <c r="E710">
        <v>30910</v>
      </c>
    </row>
    <row r="711" spans="1:6" x14ac:dyDescent="0.25">
      <c r="A711">
        <f>IF(ISBLANK(B711),A710,IFERROR(INDEX(Reaches!$A$7:$A$60,MATCH(B711,Reaches!$B$7:$B$60,0)),-1))</f>
        <v>33</v>
      </c>
      <c r="C711" s="1" t="str">
        <f>IFERROR(INDEX(Reaches!$G$7:$G$60,MATCH(B711,Reaches!$B$7:$B$60,0)),"")</f>
        <v/>
      </c>
      <c r="D711" s="3">
        <v>21065.615437977616</v>
      </c>
      <c r="E711">
        <v>38525</v>
      </c>
    </row>
    <row r="712" spans="1:6" x14ac:dyDescent="0.25">
      <c r="A712">
        <f>IF(ISBLANK(B712),A711,IFERROR(INDEX(Reaches!$A$7:$A$60,MATCH(B712,Reaches!$B$7:$B$60,0)),-1))</f>
        <v>33</v>
      </c>
      <c r="C712" s="1" t="str">
        <f>IFERROR(INDEX(Reaches!$G$7:$G$60,MATCH(B712,Reaches!$B$7:$B$60,0)),"")</f>
        <v/>
      </c>
      <c r="D712" s="3">
        <v>29860.940437977621</v>
      </c>
      <c r="E712">
        <v>53755</v>
      </c>
    </row>
    <row r="713" spans="1:6" x14ac:dyDescent="0.25">
      <c r="A713">
        <f>IF(ISBLANK(B713),A712,IFERROR(INDEX(Reaches!$A$7:$A$60,MATCH(B713,Reaches!$B$7:$B$60,0)),-1))</f>
        <v>33</v>
      </c>
      <c r="C713" s="1" t="str">
        <f>IFERROR(INDEX(Reaches!$G$7:$G$60,MATCH(B713,Reaches!$B$7:$B$60,0)),"")</f>
        <v/>
      </c>
      <c r="D713" s="3">
        <v>36457.722937977618</v>
      </c>
      <c r="E713">
        <v>65178</v>
      </c>
    </row>
    <row r="714" spans="1:6" x14ac:dyDescent="0.25">
      <c r="A714">
        <f>IF(ISBLANK(B714),A713,IFERROR(INDEX(Reaches!$A$7:$A$60,MATCH(B714,Reaches!$B$7:$B$60,0)),-1))</f>
        <v>33</v>
      </c>
      <c r="C714" s="1" t="str">
        <f>IFERROR(INDEX(Reaches!$G$7:$G$60,MATCH(B714,Reaches!$B$7:$B$60,0)),"")</f>
        <v/>
      </c>
      <c r="D714" s="3">
        <v>43053.92793797762</v>
      </c>
      <c r="E714">
        <v>76600</v>
      </c>
    </row>
    <row r="715" spans="1:6" x14ac:dyDescent="0.25">
      <c r="A715">
        <f>IF(ISBLANK(B715),A714,IFERROR(INDEX(Reaches!$A$7:$A$60,MATCH(B715,Reaches!$B$7:$B$60,0)),-1))</f>
        <v>33</v>
      </c>
      <c r="C715" s="1" t="str">
        <f>IFERROR(INDEX(Reaches!$G$7:$G$60,MATCH(B715,Reaches!$B$7:$B$60,0)),"")</f>
        <v/>
      </c>
      <c r="D715" s="3">
        <v>56567.42793797762</v>
      </c>
      <c r="E715">
        <v>100000</v>
      </c>
    </row>
    <row r="716" spans="1:6" x14ac:dyDescent="0.25">
      <c r="A716">
        <f>IF(ISBLANK(B716),A715,IFERROR(INDEX(Reaches!$A$7:$A$60,MATCH(B716,Reaches!$B$7:$B$60,0)),-1))</f>
        <v>33</v>
      </c>
      <c r="C716" s="1" t="str">
        <f>IFERROR(INDEX(Reaches!$G$7:$G$60,MATCH(B716,Reaches!$B$7:$B$60,0)),"")</f>
        <v/>
      </c>
      <c r="D716" s="3">
        <v>99879.927937977627</v>
      </c>
      <c r="E716">
        <v>175000</v>
      </c>
    </row>
    <row r="717" spans="1:6" x14ac:dyDescent="0.25">
      <c r="A717">
        <f>IF(ISBLANK(B717),A716,IFERROR(INDEX(Reaches!$A$7:$A$60,MATCH(B717,Reaches!$B$7:$B$60,0)),-1))</f>
        <v>33</v>
      </c>
      <c r="C717" s="1"/>
      <c r="D717">
        <f>ROUND(D716+(E717-E716)*(D716-D715)/(E716-E715),0)</f>
        <v>576317</v>
      </c>
      <c r="E717">
        <v>999999</v>
      </c>
    </row>
    <row r="718" spans="1:6" x14ac:dyDescent="0.25">
      <c r="A718">
        <f>IF(ISBLANK(B718),A717,IFERROR(INDEX(Reaches!$A$7:$A$60,MATCH(B718,Reaches!$B$7:$B$60,0)),-1))</f>
        <v>34</v>
      </c>
      <c r="B718" t="s">
        <v>92</v>
      </c>
      <c r="C718" s="1">
        <f>IFERROR(INDEX(Reaches!$G$7:$G$60,MATCH(B718,Reaches!$B$7:$B$60,0)),"")</f>
        <v>1</v>
      </c>
      <c r="D718" s="3">
        <v>0</v>
      </c>
      <c r="E718">
        <v>0</v>
      </c>
      <c r="F718" t="s">
        <v>228</v>
      </c>
    </row>
    <row r="719" spans="1:6" x14ac:dyDescent="0.25">
      <c r="A719">
        <f>IF(ISBLANK(B719),A718,IFERROR(INDEX(Reaches!$A$7:$A$60,MATCH(B719,Reaches!$B$7:$B$60,0)),-1))</f>
        <v>34</v>
      </c>
      <c r="C719" s="1" t="str">
        <f>IFERROR(INDEX(Reaches!$G$7:$G$60,MATCH(B719,Reaches!$B$7:$B$60,0)),"")</f>
        <v/>
      </c>
      <c r="D719" s="3">
        <v>45</v>
      </c>
      <c r="E719">
        <v>525</v>
      </c>
    </row>
    <row r="720" spans="1:6" x14ac:dyDescent="0.25">
      <c r="A720">
        <f>IF(ISBLANK(B720),A719,IFERROR(INDEX(Reaches!$A$7:$A$60,MATCH(B720,Reaches!$B$7:$B$60,0)),-1))</f>
        <v>34</v>
      </c>
      <c r="C720" s="1" t="str">
        <f>IFERROR(INDEX(Reaches!$G$7:$G$60,MATCH(B720,Reaches!$B$7:$B$60,0)),"")</f>
        <v/>
      </c>
      <c r="D720" s="3">
        <v>51.342857142857142</v>
      </c>
      <c r="E720">
        <v>599</v>
      </c>
    </row>
    <row r="721" spans="1:5" x14ac:dyDescent="0.25">
      <c r="A721">
        <f>IF(ISBLANK(B721),A720,IFERROR(INDEX(Reaches!$A$7:$A$60,MATCH(B721,Reaches!$B$7:$B$60,0)),-1))</f>
        <v>34</v>
      </c>
      <c r="C721" s="1" t="str">
        <f>IFERROR(INDEX(Reaches!$G$7:$G$60,MATCH(B721,Reaches!$B$7:$B$60,0)),"")</f>
        <v/>
      </c>
      <c r="D721" s="3">
        <v>57.771428571428572</v>
      </c>
      <c r="E721">
        <v>674</v>
      </c>
    </row>
    <row r="722" spans="1:5" x14ac:dyDescent="0.25">
      <c r="A722">
        <f>IF(ISBLANK(B722),A721,IFERROR(INDEX(Reaches!$A$7:$A$60,MATCH(B722,Reaches!$B$7:$B$60,0)),-1))</f>
        <v>34</v>
      </c>
      <c r="C722" s="1" t="str">
        <f>IFERROR(INDEX(Reaches!$G$7:$G$60,MATCH(B722,Reaches!$B$7:$B$60,0)),"")</f>
        <v/>
      </c>
      <c r="D722" s="3">
        <v>76.885714285714272</v>
      </c>
      <c r="E722">
        <v>897</v>
      </c>
    </row>
    <row r="723" spans="1:5" x14ac:dyDescent="0.25">
      <c r="A723">
        <f>IF(ISBLANK(B723),A722,IFERROR(INDEX(Reaches!$A$7:$A$60,MATCH(B723,Reaches!$B$7:$B$60,0)),-1))</f>
        <v>34</v>
      </c>
      <c r="C723" s="1" t="str">
        <f>IFERROR(INDEX(Reaches!$G$7:$G$60,MATCH(B723,Reaches!$B$7:$B$60,0)),"")</f>
        <v/>
      </c>
      <c r="D723" s="3">
        <v>92.914285714285711</v>
      </c>
      <c r="E723">
        <v>1084</v>
      </c>
    </row>
    <row r="724" spans="1:5" x14ac:dyDescent="0.25">
      <c r="A724">
        <f>IF(ISBLANK(B724),A723,IFERROR(INDEX(Reaches!$A$7:$A$60,MATCH(B724,Reaches!$B$7:$B$60,0)),-1))</f>
        <v>34</v>
      </c>
      <c r="C724" s="1" t="str">
        <f>IFERROR(INDEX(Reaches!$G$7:$G$60,MATCH(B724,Reaches!$B$7:$B$60,0)),"")</f>
        <v/>
      </c>
      <c r="D724" s="3">
        <v>108.85714285714286</v>
      </c>
      <c r="E724">
        <v>1270</v>
      </c>
    </row>
    <row r="725" spans="1:5" x14ac:dyDescent="0.25">
      <c r="A725">
        <f>IF(ISBLANK(B725),A724,IFERROR(INDEX(Reaches!$A$7:$A$60,MATCH(B725,Reaches!$B$7:$B$60,0)),-1))</f>
        <v>34</v>
      </c>
      <c r="C725" s="1" t="str">
        <f>IFERROR(INDEX(Reaches!$G$7:$G$60,MATCH(B725,Reaches!$B$7:$B$60,0)),"")</f>
        <v/>
      </c>
      <c r="D725" s="3">
        <v>140.74285714285713</v>
      </c>
      <c r="E725">
        <v>1642</v>
      </c>
    </row>
    <row r="726" spans="1:5" x14ac:dyDescent="0.25">
      <c r="A726">
        <f>IF(ISBLANK(B726),A725,IFERROR(INDEX(Reaches!$A$7:$A$60,MATCH(B726,Reaches!$B$7:$B$60,0)),-1))</f>
        <v>34</v>
      </c>
      <c r="C726" s="1" t="str">
        <f>IFERROR(INDEX(Reaches!$G$7:$G$60,MATCH(B726,Reaches!$B$7:$B$60,0)),"")</f>
        <v/>
      </c>
      <c r="D726" s="3">
        <v>172.62857142857141</v>
      </c>
      <c r="E726">
        <v>2014</v>
      </c>
    </row>
    <row r="727" spans="1:5" x14ac:dyDescent="0.25">
      <c r="A727">
        <f>IF(ISBLANK(B727),A726,IFERROR(INDEX(Reaches!$A$7:$A$60,MATCH(B727,Reaches!$B$7:$B$60,0)),-1))</f>
        <v>34</v>
      </c>
      <c r="C727" s="1" t="str">
        <f>IFERROR(INDEX(Reaches!$G$7:$G$60,MATCH(B727,Reaches!$B$7:$B$60,0)),"")</f>
        <v/>
      </c>
      <c r="D727" s="3">
        <v>236.48571428571427</v>
      </c>
      <c r="E727">
        <v>2759</v>
      </c>
    </row>
    <row r="728" spans="1:5" x14ac:dyDescent="0.25">
      <c r="A728">
        <f>IF(ISBLANK(B728),A727,IFERROR(INDEX(Reaches!$A$7:$A$60,MATCH(B728,Reaches!$B$7:$B$60,0)),-1))</f>
        <v>34</v>
      </c>
      <c r="C728" s="1" t="str">
        <f>IFERROR(INDEX(Reaches!$G$7:$G$60,MATCH(B728,Reaches!$B$7:$B$60,0)),"")</f>
        <v/>
      </c>
      <c r="D728" s="3">
        <v>364.2</v>
      </c>
      <c r="E728">
        <v>4249</v>
      </c>
    </row>
    <row r="729" spans="1:5" x14ac:dyDescent="0.25">
      <c r="A729">
        <f>IF(ISBLANK(B729),A728,IFERROR(INDEX(Reaches!$A$7:$A$60,MATCH(B729,Reaches!$B$7:$B$60,0)),-1))</f>
        <v>34</v>
      </c>
      <c r="C729" s="1" t="str">
        <f>IFERROR(INDEX(Reaches!$G$7:$G$60,MATCH(B729,Reaches!$B$7:$B$60,0)),"")</f>
        <v/>
      </c>
      <c r="D729" s="3">
        <v>523.79999999999995</v>
      </c>
      <c r="E729">
        <v>6111</v>
      </c>
    </row>
    <row r="730" spans="1:5" x14ac:dyDescent="0.25">
      <c r="A730">
        <f>IF(ISBLANK(B730),A729,IFERROR(INDEX(Reaches!$A$7:$A$60,MATCH(B730,Reaches!$B$7:$B$60,0)),-1))</f>
        <v>34</v>
      </c>
      <c r="C730" s="1" t="str">
        <f>IFERROR(INDEX(Reaches!$G$7:$G$60,MATCH(B730,Reaches!$B$7:$B$60,0)),"")</f>
        <v/>
      </c>
      <c r="D730" s="3">
        <v>683.31428571428569</v>
      </c>
      <c r="E730">
        <v>7972</v>
      </c>
    </row>
    <row r="731" spans="1:5" x14ac:dyDescent="0.25">
      <c r="A731">
        <f>IF(ISBLANK(B731),A730,IFERROR(INDEX(Reaches!$A$7:$A$60,MATCH(B731,Reaches!$B$7:$B$60,0)),-1))</f>
        <v>34</v>
      </c>
      <c r="C731" s="1" t="str">
        <f>IFERROR(INDEX(Reaches!$G$7:$G$60,MATCH(B731,Reaches!$B$7:$B$60,0)),"")</f>
        <v/>
      </c>
      <c r="D731" s="3">
        <v>869.51428571428573</v>
      </c>
      <c r="E731">
        <v>9834</v>
      </c>
    </row>
    <row r="732" spans="1:5" x14ac:dyDescent="0.25">
      <c r="A732">
        <f>IF(ISBLANK(B732),A731,IFERROR(INDEX(Reaches!$A$7:$A$60,MATCH(B732,Reaches!$B$7:$B$60,0)),-1))</f>
        <v>34</v>
      </c>
      <c r="C732" s="1" t="str">
        <f>IFERROR(INDEX(Reaches!$G$7:$G$60,MATCH(B732,Reaches!$B$7:$B$60,0)),"")</f>
        <v/>
      </c>
      <c r="D732" s="3">
        <v>1055.7142857142858</v>
      </c>
      <c r="E732">
        <v>11696</v>
      </c>
    </row>
    <row r="733" spans="1:5" x14ac:dyDescent="0.25">
      <c r="A733">
        <f>IF(ISBLANK(B733),A732,IFERROR(INDEX(Reaches!$A$7:$A$60,MATCH(B733,Reaches!$B$7:$B$60,0)),-1))</f>
        <v>34</v>
      </c>
      <c r="C733" s="1" t="str">
        <f>IFERROR(INDEX(Reaches!$G$7:$G$60,MATCH(B733,Reaches!$B$7:$B$60,0)),"")</f>
        <v/>
      </c>
      <c r="D733" s="3">
        <v>1428.1142857142859</v>
      </c>
      <c r="E733">
        <v>15420</v>
      </c>
    </row>
    <row r="734" spans="1:5" x14ac:dyDescent="0.25">
      <c r="A734">
        <f>IF(ISBLANK(B734),A733,IFERROR(INDEX(Reaches!$A$7:$A$60,MATCH(B734,Reaches!$B$7:$B$60,0)),-1))</f>
        <v>34</v>
      </c>
      <c r="C734" s="1" t="str">
        <f>IFERROR(INDEX(Reaches!$G$7:$G$60,MATCH(B734,Reaches!$B$7:$B$60,0)),"")</f>
        <v/>
      </c>
      <c r="D734" s="3">
        <v>1800.5142857142857</v>
      </c>
      <c r="E734">
        <v>19144</v>
      </c>
    </row>
    <row r="735" spans="1:5" x14ac:dyDescent="0.25">
      <c r="A735">
        <f>IF(ISBLANK(B735),A734,IFERROR(INDEX(Reaches!$A$7:$A$60,MATCH(B735,Reaches!$B$7:$B$60,0)),-1))</f>
        <v>34</v>
      </c>
      <c r="C735" s="1" t="str">
        <f>IFERROR(INDEX(Reaches!$G$7:$G$60,MATCH(B735,Reaches!$B$7:$B$60,0)),"")</f>
        <v/>
      </c>
      <c r="D735" s="3">
        <v>2172.9142857142856</v>
      </c>
      <c r="E735">
        <v>22868</v>
      </c>
    </row>
    <row r="736" spans="1:5" x14ac:dyDescent="0.25">
      <c r="A736">
        <f>IF(ISBLANK(B736),A735,IFERROR(INDEX(Reaches!$A$7:$A$60,MATCH(B736,Reaches!$B$7:$B$60,0)),-1))</f>
        <v>34</v>
      </c>
      <c r="C736" s="1" t="str">
        <f>IFERROR(INDEX(Reaches!$G$7:$G$60,MATCH(B736,Reaches!$B$7:$B$60,0)),"")</f>
        <v/>
      </c>
      <c r="D736" s="3">
        <v>2545.2142857142858</v>
      </c>
      <c r="E736">
        <v>26591</v>
      </c>
    </row>
    <row r="737" spans="1:6" x14ac:dyDescent="0.25">
      <c r="A737">
        <f>IF(ISBLANK(B737),A736,IFERROR(INDEX(Reaches!$A$7:$A$60,MATCH(B737,Reaches!$B$7:$B$60,0)),-1))</f>
        <v>34</v>
      </c>
      <c r="C737" s="1" t="str">
        <f>IFERROR(INDEX(Reaches!$G$7:$G$60,MATCH(B737,Reaches!$B$7:$B$60,0)),"")</f>
        <v/>
      </c>
      <c r="D737" s="3">
        <v>2917.6142857142859</v>
      </c>
      <c r="E737">
        <v>30315</v>
      </c>
    </row>
    <row r="738" spans="1:6" x14ac:dyDescent="0.25">
      <c r="A738">
        <f>IF(ISBLANK(B738),A737,IFERROR(INDEX(Reaches!$A$7:$A$60,MATCH(B738,Reaches!$B$7:$B$60,0)),-1))</f>
        <v>34</v>
      </c>
      <c r="C738" s="1" t="str">
        <f>IFERROR(INDEX(Reaches!$G$7:$G$60,MATCH(B738,Reaches!$B$7:$B$60,0)),"")</f>
        <v/>
      </c>
      <c r="D738" s="3">
        <v>3662.3142857142857</v>
      </c>
      <c r="E738">
        <v>37762</v>
      </c>
    </row>
    <row r="739" spans="1:6" x14ac:dyDescent="0.25">
      <c r="A739">
        <f>IF(ISBLANK(B739),A738,IFERROR(INDEX(Reaches!$A$7:$A$60,MATCH(B739,Reaches!$B$7:$B$60,0)),-1))</f>
        <v>34</v>
      </c>
      <c r="C739" s="1" t="str">
        <f>IFERROR(INDEX(Reaches!$G$7:$G$60,MATCH(B739,Reaches!$B$7:$B$60,0)),"")</f>
        <v/>
      </c>
      <c r="D739" s="3">
        <v>5151.9142857142851</v>
      </c>
      <c r="E739">
        <v>52658</v>
      </c>
    </row>
    <row r="740" spans="1:6" x14ac:dyDescent="0.25">
      <c r="A740">
        <f>IF(ISBLANK(B740),A739,IFERROR(INDEX(Reaches!$A$7:$A$60,MATCH(B740,Reaches!$B$7:$B$60,0)),-1))</f>
        <v>34</v>
      </c>
      <c r="C740" s="1" t="str">
        <f>IFERROR(INDEX(Reaches!$G$7:$G$60,MATCH(B740,Reaches!$B$7:$B$60,0)),"")</f>
        <v/>
      </c>
      <c r="D740" s="3">
        <v>6269.0142857142855</v>
      </c>
      <c r="E740">
        <v>63829</v>
      </c>
    </row>
    <row r="741" spans="1:6" x14ac:dyDescent="0.25">
      <c r="A741">
        <f>IF(ISBLANK(B741),A740,IFERROR(INDEX(Reaches!$A$7:$A$60,MATCH(B741,Reaches!$B$7:$B$60,0)),-1))</f>
        <v>34</v>
      </c>
      <c r="C741" s="1" t="str">
        <f>IFERROR(INDEX(Reaches!$G$7:$G$60,MATCH(B741,Reaches!$B$7:$B$60,0)),"")</f>
        <v/>
      </c>
      <c r="D741" s="3">
        <v>7386.1142857142859</v>
      </c>
      <c r="E741">
        <v>75000</v>
      </c>
    </row>
    <row r="742" spans="1:6" x14ac:dyDescent="0.25">
      <c r="A742">
        <f>IF(ISBLANK(B742),A741,IFERROR(INDEX(Reaches!$A$7:$A$60,MATCH(B742,Reaches!$B$7:$B$60,0)),-1))</f>
        <v>34</v>
      </c>
      <c r="C742" s="1" t="str">
        <f>IFERROR(INDEX(Reaches!$G$7:$G$60,MATCH(B742,Reaches!$B$7:$B$60,0)),"")</f>
        <v/>
      </c>
      <c r="D742" s="3">
        <v>9886.1142857142859</v>
      </c>
      <c r="E742">
        <v>100000</v>
      </c>
    </row>
    <row r="743" spans="1:6" x14ac:dyDescent="0.25">
      <c r="A743">
        <f>IF(ISBLANK(B743),A742,IFERROR(INDEX(Reaches!$A$7:$A$60,MATCH(B743,Reaches!$B$7:$B$60,0)),-1))</f>
        <v>34</v>
      </c>
      <c r="C743" s="1" t="str">
        <f>IFERROR(INDEX(Reaches!$G$7:$G$60,MATCH(B743,Reaches!$B$7:$B$60,0)),"")</f>
        <v/>
      </c>
      <c r="D743" s="3">
        <v>17386.114285714284</v>
      </c>
      <c r="E743">
        <v>175000</v>
      </c>
    </row>
    <row r="744" spans="1:6" x14ac:dyDescent="0.25">
      <c r="A744">
        <f>IF(ISBLANK(B744),A743,IFERROR(INDEX(Reaches!$A$7:$A$60,MATCH(B744,Reaches!$B$7:$B$60,0)),-1))</f>
        <v>34</v>
      </c>
      <c r="C744" s="1"/>
      <c r="D744">
        <f>ROUND(D743+(E744-E743)*(D743-D742)/(E743-E742),0)</f>
        <v>99886</v>
      </c>
      <c r="E744">
        <v>999999</v>
      </c>
    </row>
    <row r="745" spans="1:6" x14ac:dyDescent="0.25">
      <c r="A745">
        <f>IF(ISBLANK(B745),A744,IFERROR(INDEX(Reaches!$A$7:$A$60,MATCH(B745,Reaches!$B$7:$B$60,0)),-1))</f>
        <v>35</v>
      </c>
      <c r="B745" t="s">
        <v>249</v>
      </c>
      <c r="C745" s="1">
        <f>IFERROR(INDEX(Reaches!$G$7:$G$60,MATCH(B745,Reaches!$B$7:$B$60,0)),"")</f>
        <v>1</v>
      </c>
      <c r="D745" s="3">
        <v>0</v>
      </c>
      <c r="E745">
        <v>0</v>
      </c>
      <c r="F745" t="s">
        <v>228</v>
      </c>
    </row>
    <row r="746" spans="1:6" x14ac:dyDescent="0.25">
      <c r="A746">
        <f>IF(ISBLANK(B746),A745,IFERROR(INDEX(Reaches!$A$7:$A$60,MATCH(B746,Reaches!$B$7:$B$60,0)),-1))</f>
        <v>35</v>
      </c>
      <c r="C746" s="1" t="str">
        <f>IFERROR(INDEX(Reaches!$G$7:$G$60,MATCH(B746,Reaches!$B$7:$B$60,0)),"")</f>
        <v/>
      </c>
      <c r="D746" s="3">
        <v>40.999999999999993</v>
      </c>
      <c r="E746">
        <v>260</v>
      </c>
    </row>
    <row r="747" spans="1:6" x14ac:dyDescent="0.25">
      <c r="A747">
        <f>IF(ISBLANK(B747),A746,IFERROR(INDEX(Reaches!$A$7:$A$60,MATCH(B747,Reaches!$B$7:$B$60,0)),-1))</f>
        <v>35</v>
      </c>
      <c r="C747" s="1" t="str">
        <f>IFERROR(INDEX(Reaches!$G$7:$G$60,MATCH(B747,Reaches!$B$7:$B$60,0)),"")</f>
        <v/>
      </c>
      <c r="D747" s="3">
        <v>57.999999999999993</v>
      </c>
      <c r="E747">
        <v>462</v>
      </c>
    </row>
    <row r="748" spans="1:6" x14ac:dyDescent="0.25">
      <c r="A748">
        <f>IF(ISBLANK(B748),A747,IFERROR(INDEX(Reaches!$A$7:$A$60,MATCH(B748,Reaches!$B$7:$B$60,0)),-1))</f>
        <v>35</v>
      </c>
      <c r="C748" s="1" t="str">
        <f>IFERROR(INDEX(Reaches!$G$7:$G$60,MATCH(B748,Reaches!$B$7:$B$60,0)),"")</f>
        <v/>
      </c>
      <c r="D748" s="3">
        <v>73</v>
      </c>
      <c r="E748">
        <v>663</v>
      </c>
    </row>
    <row r="749" spans="1:6" x14ac:dyDescent="0.25">
      <c r="A749">
        <f>IF(ISBLANK(B749),A748,IFERROR(INDEX(Reaches!$A$7:$A$60,MATCH(B749,Reaches!$B$7:$B$60,0)),-1))</f>
        <v>35</v>
      </c>
      <c r="C749" s="1" t="str">
        <f>IFERROR(INDEX(Reaches!$G$7:$G$60,MATCH(B749,Reaches!$B$7:$B$60,0)),"")</f>
        <v/>
      </c>
      <c r="D749" s="3">
        <v>111</v>
      </c>
      <c r="E749">
        <v>1269</v>
      </c>
    </row>
    <row r="750" spans="1:6" x14ac:dyDescent="0.25">
      <c r="A750">
        <f>IF(ISBLANK(B750),A749,IFERROR(INDEX(Reaches!$A$7:$A$60,MATCH(B750,Reaches!$B$7:$B$60,0)),-1))</f>
        <v>35</v>
      </c>
      <c r="C750" s="1" t="str">
        <f>IFERROR(INDEX(Reaches!$G$7:$G$60,MATCH(B750,Reaches!$B$7:$B$60,0)),"")</f>
        <v/>
      </c>
      <c r="D750" s="3">
        <v>137</v>
      </c>
      <c r="E750">
        <v>1773</v>
      </c>
    </row>
    <row r="751" spans="1:6" x14ac:dyDescent="0.25">
      <c r="A751">
        <f>IF(ISBLANK(B751),A750,IFERROR(INDEX(Reaches!$A$7:$A$60,MATCH(B751,Reaches!$B$7:$B$60,0)),-1))</f>
        <v>35</v>
      </c>
      <c r="C751" s="1" t="str">
        <f>IFERROR(INDEX(Reaches!$G$7:$G$60,MATCH(B751,Reaches!$B$7:$B$60,0)),"")</f>
        <v/>
      </c>
      <c r="D751" s="3">
        <v>163</v>
      </c>
      <c r="E751">
        <v>2277</v>
      </c>
    </row>
    <row r="752" spans="1:6" x14ac:dyDescent="0.25">
      <c r="A752">
        <f>IF(ISBLANK(B752),A751,IFERROR(INDEX(Reaches!$A$7:$A$60,MATCH(B752,Reaches!$B$7:$B$60,0)),-1))</f>
        <v>35</v>
      </c>
      <c r="C752" s="1" t="str">
        <f>IFERROR(INDEX(Reaches!$G$7:$G$60,MATCH(B752,Reaches!$B$7:$B$60,0)),"")</f>
        <v/>
      </c>
      <c r="D752" s="3">
        <v>215.05158730158729</v>
      </c>
      <c r="E752">
        <v>3286</v>
      </c>
    </row>
    <row r="753" spans="1:5" x14ac:dyDescent="0.25">
      <c r="A753">
        <f>IF(ISBLANK(B753),A752,IFERROR(INDEX(Reaches!$A$7:$A$60,MATCH(B753,Reaches!$B$7:$B$60,0)),-1))</f>
        <v>35</v>
      </c>
      <c r="C753" s="1" t="str">
        <f>IFERROR(INDEX(Reaches!$G$7:$G$60,MATCH(B753,Reaches!$B$7:$B$60,0)),"")</f>
        <v/>
      </c>
      <c r="D753" s="3">
        <v>267.10317460317458</v>
      </c>
      <c r="E753">
        <v>4295</v>
      </c>
    </row>
    <row r="754" spans="1:5" x14ac:dyDescent="0.25">
      <c r="A754">
        <f>IF(ISBLANK(B754),A753,IFERROR(INDEX(Reaches!$A$7:$A$60,MATCH(B754,Reaches!$B$7:$B$60,0)),-1))</f>
        <v>35</v>
      </c>
      <c r="C754" s="1" t="str">
        <f>IFERROR(INDEX(Reaches!$G$7:$G$60,MATCH(B754,Reaches!$B$7:$B$60,0)),"")</f>
        <v/>
      </c>
      <c r="D754" s="3">
        <v>371.15476190476187</v>
      </c>
      <c r="E754">
        <v>6312</v>
      </c>
    </row>
    <row r="755" spans="1:5" x14ac:dyDescent="0.25">
      <c r="A755">
        <f>IF(ISBLANK(B755),A754,IFERROR(INDEX(Reaches!$A$7:$A$60,MATCH(B755,Reaches!$B$7:$B$60,0)),-1))</f>
        <v>35</v>
      </c>
      <c r="C755" s="1" t="str">
        <f>IFERROR(INDEX(Reaches!$G$7:$G$60,MATCH(B755,Reaches!$B$7:$B$60,0)),"")</f>
        <v/>
      </c>
      <c r="D755" s="3">
        <v>579.30952380952363</v>
      </c>
      <c r="E755">
        <v>10347</v>
      </c>
    </row>
    <row r="756" spans="1:5" x14ac:dyDescent="0.25">
      <c r="A756">
        <f>IF(ISBLANK(B756),A755,IFERROR(INDEX(Reaches!$A$7:$A$60,MATCH(B756,Reaches!$B$7:$B$60,0)),-1))</f>
        <v>35</v>
      </c>
      <c r="C756" s="1" t="str">
        <f>IFERROR(INDEX(Reaches!$G$7:$G$60,MATCH(B756,Reaches!$B$7:$B$60,0)),"")</f>
        <v/>
      </c>
      <c r="D756" s="3">
        <v>839.46428571428532</v>
      </c>
      <c r="E756">
        <v>15390</v>
      </c>
    </row>
    <row r="757" spans="1:5" x14ac:dyDescent="0.25">
      <c r="A757">
        <f>IF(ISBLANK(B757),A756,IFERROR(INDEX(Reaches!$A$7:$A$60,MATCH(B757,Reaches!$B$7:$B$60,0)),-1))</f>
        <v>35</v>
      </c>
      <c r="C757" s="1" t="str">
        <f>IFERROR(INDEX(Reaches!$G$7:$G$60,MATCH(B757,Reaches!$B$7:$B$60,0)),"")</f>
        <v/>
      </c>
      <c r="D757" s="3">
        <v>1099.6706349206345</v>
      </c>
      <c r="E757">
        <v>20434</v>
      </c>
    </row>
    <row r="758" spans="1:5" x14ac:dyDescent="0.25">
      <c r="A758">
        <f>IF(ISBLANK(B758),A757,IFERROR(INDEX(Reaches!$A$7:$A$60,MATCH(B758,Reaches!$B$7:$B$60,0)),-1))</f>
        <v>35</v>
      </c>
      <c r="C758" s="1" t="str">
        <f>IFERROR(INDEX(Reaches!$G$7:$G$60,MATCH(B758,Reaches!$B$7:$B$60,0)),"")</f>
        <v/>
      </c>
      <c r="D758" s="3">
        <v>1359.8769841269836</v>
      </c>
      <c r="E758">
        <v>25478</v>
      </c>
    </row>
    <row r="759" spans="1:5" x14ac:dyDescent="0.25">
      <c r="A759">
        <f>IF(ISBLANK(B759),A758,IFERROR(INDEX(Reaches!$A$7:$A$60,MATCH(B759,Reaches!$B$7:$B$60,0)),-1))</f>
        <v>35</v>
      </c>
      <c r="C759" s="1" t="str">
        <f>IFERROR(INDEX(Reaches!$G$7:$G$60,MATCH(B759,Reaches!$B$7:$B$60,0)),"")</f>
        <v/>
      </c>
      <c r="D759" s="3">
        <v>1620.0317460317453</v>
      </c>
      <c r="E759">
        <v>30521</v>
      </c>
    </row>
    <row r="760" spans="1:5" x14ac:dyDescent="0.25">
      <c r="A760">
        <f>IF(ISBLANK(B760),A759,IFERROR(INDEX(Reaches!$A$7:$A$60,MATCH(B760,Reaches!$B$7:$B$60,0)),-1))</f>
        <v>35</v>
      </c>
      <c r="C760" s="1" t="str">
        <f>IFERROR(INDEX(Reaches!$G$7:$G$60,MATCH(B760,Reaches!$B$7:$B$60,0)),"")</f>
        <v/>
      </c>
      <c r="D760" s="3">
        <v>2140.3928571428564</v>
      </c>
      <c r="E760">
        <v>40608</v>
      </c>
    </row>
    <row r="761" spans="1:5" x14ac:dyDescent="0.25">
      <c r="A761">
        <f>IF(ISBLANK(B761),A760,IFERROR(INDEX(Reaches!$A$7:$A$60,MATCH(B761,Reaches!$B$7:$B$60,0)),-1))</f>
        <v>35</v>
      </c>
      <c r="C761" s="1" t="str">
        <f>IFERROR(INDEX(Reaches!$G$7:$G$60,MATCH(B761,Reaches!$B$7:$B$60,0)),"")</f>
        <v/>
      </c>
      <c r="D761" s="3">
        <v>2660.7539682539673</v>
      </c>
      <c r="E761">
        <v>50695</v>
      </c>
    </row>
    <row r="762" spans="1:5" x14ac:dyDescent="0.25">
      <c r="A762">
        <f>IF(ISBLANK(B762),A761,IFERROR(INDEX(Reaches!$A$7:$A$60,MATCH(B762,Reaches!$B$7:$B$60,0)),-1))</f>
        <v>35</v>
      </c>
      <c r="C762" s="1" t="str">
        <f>IFERROR(INDEX(Reaches!$G$7:$G$60,MATCH(B762,Reaches!$B$7:$B$60,0)),"")</f>
        <v/>
      </c>
      <c r="D762" s="3">
        <v>3181.1150793650781</v>
      </c>
      <c r="E762">
        <v>60782</v>
      </c>
    </row>
    <row r="763" spans="1:5" x14ac:dyDescent="0.25">
      <c r="A763">
        <f>IF(ISBLANK(B763),A762,IFERROR(INDEX(Reaches!$A$7:$A$60,MATCH(B763,Reaches!$B$7:$B$60,0)),-1))</f>
        <v>35</v>
      </c>
      <c r="C763" s="1" t="str">
        <f>IFERROR(INDEX(Reaches!$G$7:$G$60,MATCH(B763,Reaches!$B$7:$B$60,0)),"")</f>
        <v/>
      </c>
      <c r="D763" s="3">
        <v>3701.476190476189</v>
      </c>
      <c r="E763">
        <v>70869</v>
      </c>
    </row>
    <row r="764" spans="1:5" x14ac:dyDescent="0.25">
      <c r="A764">
        <f>IF(ISBLANK(B764),A763,IFERROR(INDEX(Reaches!$A$7:$A$60,MATCH(B764,Reaches!$B$7:$B$60,0)),-1))</f>
        <v>35</v>
      </c>
      <c r="C764" s="1" t="str">
        <f>IFERROR(INDEX(Reaches!$G$7:$G$60,MATCH(B764,Reaches!$B$7:$B$60,0)),"")</f>
        <v/>
      </c>
      <c r="D764" s="3">
        <v>4242.476190476189</v>
      </c>
      <c r="E764">
        <v>80956</v>
      </c>
    </row>
    <row r="765" spans="1:5" x14ac:dyDescent="0.25">
      <c r="A765">
        <f>IF(ISBLANK(B765),A764,IFERROR(INDEX(Reaches!$A$7:$A$60,MATCH(B765,Reaches!$B$7:$B$60,0)),-1))</f>
        <v>35</v>
      </c>
      <c r="C765" s="1" t="str">
        <f>IFERROR(INDEX(Reaches!$G$7:$G$60,MATCH(B765,Reaches!$B$7:$B$60,0)),"")</f>
        <v/>
      </c>
      <c r="D765" s="3">
        <v>5370.476190476189</v>
      </c>
      <c r="E765">
        <v>101130</v>
      </c>
    </row>
    <row r="766" spans="1:5" x14ac:dyDescent="0.25">
      <c r="A766">
        <f>IF(ISBLANK(B766),A765,IFERROR(INDEX(Reaches!$A$7:$A$60,MATCH(B766,Reaches!$B$7:$B$60,0)),-1))</f>
        <v>35</v>
      </c>
      <c r="C766" s="1" t="str">
        <f>IFERROR(INDEX(Reaches!$G$7:$G$60,MATCH(B766,Reaches!$B$7:$B$60,0)),"")</f>
        <v/>
      </c>
      <c r="D766" s="3">
        <v>7791.476190476189</v>
      </c>
      <c r="E766">
        <v>141478</v>
      </c>
    </row>
    <row r="767" spans="1:5" x14ac:dyDescent="0.25">
      <c r="A767">
        <f>IF(ISBLANK(B767),A766,IFERROR(INDEX(Reaches!$A$7:$A$60,MATCH(B767,Reaches!$B$7:$B$60,0)),-1))</f>
        <v>35</v>
      </c>
      <c r="C767" s="1" t="str">
        <f>IFERROR(INDEX(Reaches!$G$7:$G$60,MATCH(B767,Reaches!$B$7:$B$60,0)),"")</f>
        <v/>
      </c>
      <c r="D767" s="3">
        <v>9751.476190476189</v>
      </c>
      <c r="E767">
        <v>171739</v>
      </c>
    </row>
    <row r="768" spans="1:5" x14ac:dyDescent="0.25">
      <c r="A768">
        <f>IF(ISBLANK(B768),A767,IFERROR(INDEX(Reaches!$A$7:$A$60,MATCH(B768,Reaches!$B$7:$B$60,0)),-1))</f>
        <v>35</v>
      </c>
      <c r="C768" s="1" t="str">
        <f>IFERROR(INDEX(Reaches!$G$7:$G$60,MATCH(B768,Reaches!$B$7:$B$60,0)),"")</f>
        <v/>
      </c>
      <c r="D768" s="3">
        <v>11717.476190476191</v>
      </c>
      <c r="E768">
        <v>202000</v>
      </c>
    </row>
    <row r="769" spans="1:6" x14ac:dyDescent="0.25">
      <c r="A769">
        <f>IF(ISBLANK(B769),A768,IFERROR(INDEX(Reaches!$A$7:$A$60,MATCH(B769,Reaches!$B$7:$B$60,0)),-1))</f>
        <v>35</v>
      </c>
      <c r="C769" s="1" t="str">
        <f>IFERROR(INDEX(Reaches!$G$7:$G$60,MATCH(B769,Reaches!$B$7:$B$60,0)),"")</f>
        <v/>
      </c>
      <c r="D769" s="3">
        <v>12229.476190476189</v>
      </c>
      <c r="E769">
        <v>210000</v>
      </c>
    </row>
    <row r="770" spans="1:6" x14ac:dyDescent="0.25">
      <c r="A770">
        <f>IF(ISBLANK(B770),A769,IFERROR(INDEX(Reaches!$A$7:$A$60,MATCH(B770,Reaches!$B$7:$B$60,0)),-1))</f>
        <v>35</v>
      </c>
      <c r="C770" s="1" t="str">
        <f>IFERROR(INDEX(Reaches!$G$7:$G$60,MATCH(B770,Reaches!$B$7:$B$60,0)),"")</f>
        <v/>
      </c>
      <c r="D770" s="3">
        <v>17787.476190476191</v>
      </c>
      <c r="E770">
        <v>300000</v>
      </c>
    </row>
    <row r="771" spans="1:6" x14ac:dyDescent="0.25">
      <c r="A771">
        <f>IF(ISBLANK(B771),A770,IFERROR(INDEX(Reaches!$A$7:$A$60,MATCH(B771,Reaches!$B$7:$B$60,0)),-1))</f>
        <v>35</v>
      </c>
      <c r="C771" s="1"/>
      <c r="D771">
        <f>ROUND(D770+(E771-E770)*(D770-D769)/(E770-E769),0)</f>
        <v>61016</v>
      </c>
      <c r="E771">
        <v>999999</v>
      </c>
    </row>
    <row r="772" spans="1:6" x14ac:dyDescent="0.25">
      <c r="A772">
        <f>IF(ISBLANK(B772),A771,IFERROR(INDEX(Reaches!$A$7:$A$60,MATCH(B772,Reaches!$B$7:$B$60,0)),-1))</f>
        <v>36</v>
      </c>
      <c r="B772" t="s">
        <v>12</v>
      </c>
      <c r="C772" s="1">
        <f>IFERROR(INDEX(Reaches!$G$7:$G$60,MATCH(B772,Reaches!$B$7:$B$60,0)),"")</f>
        <v>2</v>
      </c>
      <c r="D772" s="3">
        <v>0</v>
      </c>
      <c r="E772">
        <v>0</v>
      </c>
      <c r="F772" t="s">
        <v>228</v>
      </c>
    </row>
    <row r="773" spans="1:6" x14ac:dyDescent="0.25">
      <c r="A773">
        <f>IF(ISBLANK(B773),A772,IFERROR(INDEX(Reaches!$A$7:$A$60,MATCH(B773,Reaches!$B$7:$B$60,0)),-1))</f>
        <v>36</v>
      </c>
      <c r="C773" s="1" t="str">
        <f>IFERROR(INDEX(Reaches!$G$7:$G$60,MATCH(B773,Reaches!$B$7:$B$60,0)),"")</f>
        <v/>
      </c>
      <c r="D773" s="3">
        <v>262</v>
      </c>
      <c r="E773">
        <v>250</v>
      </c>
    </row>
    <row r="774" spans="1:6" x14ac:dyDescent="0.25">
      <c r="A774">
        <f>IF(ISBLANK(B774),A773,IFERROR(INDEX(Reaches!$A$7:$A$60,MATCH(B774,Reaches!$B$7:$B$60,0)),-1))</f>
        <v>36</v>
      </c>
      <c r="C774" s="1" t="str">
        <f>IFERROR(INDEX(Reaches!$G$7:$G$60,MATCH(B774,Reaches!$B$7:$B$60,0)),"")</f>
        <v/>
      </c>
      <c r="D774" s="3">
        <v>389</v>
      </c>
      <c r="E774">
        <v>500</v>
      </c>
    </row>
    <row r="775" spans="1:6" x14ac:dyDescent="0.25">
      <c r="A775">
        <f>IF(ISBLANK(B775),A774,IFERROR(INDEX(Reaches!$A$7:$A$60,MATCH(B775,Reaches!$B$7:$B$60,0)),-1))</f>
        <v>36</v>
      </c>
      <c r="C775" s="1" t="str">
        <f>IFERROR(INDEX(Reaches!$G$7:$G$60,MATCH(B775,Reaches!$B$7:$B$60,0)),"")</f>
        <v/>
      </c>
      <c r="D775" s="3">
        <v>617</v>
      </c>
      <c r="E775">
        <v>1000</v>
      </c>
    </row>
    <row r="776" spans="1:6" x14ac:dyDescent="0.25">
      <c r="A776">
        <f>IF(ISBLANK(B776),A775,IFERROR(INDEX(Reaches!$A$7:$A$60,MATCH(B776,Reaches!$B$7:$B$60,0)),-1))</f>
        <v>36</v>
      </c>
      <c r="C776" s="1" t="str">
        <f>IFERROR(INDEX(Reaches!$G$7:$G$60,MATCH(B776,Reaches!$B$7:$B$60,0)),"")</f>
        <v/>
      </c>
      <c r="D776" s="3">
        <v>949.00000000000011</v>
      </c>
      <c r="E776">
        <v>2000</v>
      </c>
    </row>
    <row r="777" spans="1:6" x14ac:dyDescent="0.25">
      <c r="A777">
        <f>IF(ISBLANK(B777),A776,IFERROR(INDEX(Reaches!$A$7:$A$60,MATCH(B777,Reaches!$B$7:$B$60,0)),-1))</f>
        <v>36</v>
      </c>
      <c r="C777" s="1" t="str">
        <f>IFERROR(INDEX(Reaches!$G$7:$G$60,MATCH(B777,Reaches!$B$7:$B$60,0)),"")</f>
        <v/>
      </c>
      <c r="D777" s="3">
        <v>1496</v>
      </c>
      <c r="E777">
        <v>4000</v>
      </c>
    </row>
    <row r="778" spans="1:6" x14ac:dyDescent="0.25">
      <c r="A778">
        <f>IF(ISBLANK(B778),A777,IFERROR(INDEX(Reaches!$A$7:$A$60,MATCH(B778,Reaches!$B$7:$B$60,0)),-1))</f>
        <v>36</v>
      </c>
      <c r="C778" s="1" t="str">
        <f>IFERROR(INDEX(Reaches!$G$7:$G$60,MATCH(B778,Reaches!$B$7:$B$60,0)),"")</f>
        <v/>
      </c>
      <c r="D778" s="3">
        <v>2479</v>
      </c>
      <c r="E778">
        <v>8000</v>
      </c>
    </row>
    <row r="779" spans="1:6" x14ac:dyDescent="0.25">
      <c r="A779">
        <f>IF(ISBLANK(B779),A778,IFERROR(INDEX(Reaches!$A$7:$A$60,MATCH(B779,Reaches!$B$7:$B$60,0)),-1))</f>
        <v>36</v>
      </c>
      <c r="C779" s="1" t="str">
        <f>IFERROR(INDEX(Reaches!$G$7:$G$60,MATCH(B779,Reaches!$B$7:$B$60,0)),"")</f>
        <v/>
      </c>
      <c r="D779" s="3">
        <v>4333</v>
      </c>
      <c r="E779">
        <v>16000</v>
      </c>
    </row>
    <row r="780" spans="1:6" x14ac:dyDescent="0.25">
      <c r="A780">
        <f>IF(ISBLANK(B780),A779,IFERROR(INDEX(Reaches!$A$7:$A$60,MATCH(B780,Reaches!$B$7:$B$60,0)),-1))</f>
        <v>36</v>
      </c>
      <c r="C780" s="1" t="str">
        <f>IFERROR(INDEX(Reaches!$G$7:$G$60,MATCH(B780,Reaches!$B$7:$B$60,0)),"")</f>
        <v/>
      </c>
      <c r="D780" s="3">
        <v>6665.9999999999991</v>
      </c>
      <c r="E780">
        <v>25000</v>
      </c>
    </row>
    <row r="781" spans="1:6" x14ac:dyDescent="0.25">
      <c r="A781">
        <f>IF(ISBLANK(B781),A780,IFERROR(INDEX(Reaches!$A$7:$A$60,MATCH(B781,Reaches!$B$7:$B$60,0)),-1))</f>
        <v>36</v>
      </c>
      <c r="C781" s="1" t="str">
        <f>IFERROR(INDEX(Reaches!$G$7:$G$60,MATCH(B781,Reaches!$B$7:$B$60,0)),"")</f>
        <v/>
      </c>
      <c r="D781" s="3">
        <v>9994</v>
      </c>
      <c r="E781">
        <v>35000</v>
      </c>
    </row>
    <row r="782" spans="1:6" x14ac:dyDescent="0.25">
      <c r="A782">
        <f>IF(ISBLANK(B782),A781,IFERROR(INDEX(Reaches!$A$7:$A$60,MATCH(B782,Reaches!$B$7:$B$60,0)),-1))</f>
        <v>36</v>
      </c>
      <c r="C782" s="1" t="str">
        <f>IFERROR(INDEX(Reaches!$G$7:$G$60,MATCH(B782,Reaches!$B$7:$B$60,0)),"")</f>
        <v/>
      </c>
      <c r="D782" s="3">
        <v>13523.166666666666</v>
      </c>
      <c r="E782">
        <v>42000</v>
      </c>
    </row>
    <row r="783" spans="1:6" x14ac:dyDescent="0.25">
      <c r="A783">
        <f>IF(ISBLANK(B783),A782,IFERROR(INDEX(Reaches!$A$7:$A$60,MATCH(B783,Reaches!$B$7:$B$60,0)),-1))</f>
        <v>36</v>
      </c>
      <c r="C783" s="1" t="str">
        <f>IFERROR(INDEX(Reaches!$G$7:$G$60,MATCH(B783,Reaches!$B$7:$B$60,0)),"")</f>
        <v/>
      </c>
      <c r="D783" s="3">
        <v>18132.690476190477</v>
      </c>
      <c r="E783">
        <v>50000</v>
      </c>
    </row>
    <row r="784" spans="1:6" x14ac:dyDescent="0.25">
      <c r="A784">
        <f>IF(ISBLANK(B784),A783,IFERROR(INDEX(Reaches!$A$7:$A$60,MATCH(B784,Reaches!$B$7:$B$60,0)),-1))</f>
        <v>36</v>
      </c>
      <c r="C784" s="1" t="str">
        <f>IFERROR(INDEX(Reaches!$G$7:$G$60,MATCH(B784,Reaches!$B$7:$B$60,0)),"")</f>
        <v/>
      </c>
      <c r="D784" s="3">
        <v>24501.111528822054</v>
      </c>
      <c r="E784">
        <v>60000</v>
      </c>
    </row>
    <row r="785" spans="1:6" x14ac:dyDescent="0.25">
      <c r="A785">
        <f>IF(ISBLANK(B785),A784,IFERROR(INDEX(Reaches!$A$7:$A$60,MATCH(B785,Reaches!$B$7:$B$60,0)),-1))</f>
        <v>36</v>
      </c>
      <c r="C785" s="1" t="str">
        <f>IFERROR(INDEX(Reaches!$G$7:$G$60,MATCH(B785,Reaches!$B$7:$B$60,0)),"")</f>
        <v/>
      </c>
      <c r="D785" s="3">
        <v>37237.953634085214</v>
      </c>
      <c r="E785">
        <v>80000</v>
      </c>
    </row>
    <row r="786" spans="1:6" x14ac:dyDescent="0.25">
      <c r="A786">
        <f>IF(ISBLANK(B786),A785,IFERROR(INDEX(Reaches!$A$7:$A$60,MATCH(B786,Reaches!$B$7:$B$60,0)),-1))</f>
        <v>36</v>
      </c>
      <c r="C786" s="1" t="str">
        <f>IFERROR(INDEX(Reaches!$G$7:$G$60,MATCH(B786,Reaches!$B$7:$B$60,0)),"")</f>
        <v/>
      </c>
      <c r="D786" s="3">
        <v>48761.763157894733</v>
      </c>
      <c r="E786">
        <v>100000</v>
      </c>
    </row>
    <row r="787" spans="1:6" x14ac:dyDescent="0.25">
      <c r="A787">
        <f>IF(ISBLANK(B787),A786,IFERROR(INDEX(Reaches!$A$7:$A$60,MATCH(B787,Reaches!$B$7:$B$60,0)),-1))</f>
        <v>36</v>
      </c>
      <c r="C787" s="1" t="str">
        <f>IFERROR(INDEX(Reaches!$G$7:$G$60,MATCH(B787,Reaches!$B$7:$B$60,0)),"")</f>
        <v/>
      </c>
      <c r="D787" s="3">
        <v>62511.763157894726</v>
      </c>
      <c r="E787">
        <v>125000</v>
      </c>
    </row>
    <row r="788" spans="1:6" x14ac:dyDescent="0.25">
      <c r="A788">
        <f>IF(ISBLANK(B788),A787,IFERROR(INDEX(Reaches!$A$7:$A$60,MATCH(B788,Reaches!$B$7:$B$60,0)),-1))</f>
        <v>36</v>
      </c>
      <c r="C788" s="1" t="str">
        <f>IFERROR(INDEX(Reaches!$G$7:$G$60,MATCH(B788,Reaches!$B$7:$B$60,0)),"")</f>
        <v/>
      </c>
      <c r="D788" s="3">
        <v>76261.763157894718</v>
      </c>
      <c r="E788">
        <v>150000</v>
      </c>
    </row>
    <row r="789" spans="1:6" x14ac:dyDescent="0.25">
      <c r="A789">
        <f>IF(ISBLANK(B789),A788,IFERROR(INDEX(Reaches!$A$7:$A$60,MATCH(B789,Reaches!$B$7:$B$60,0)),-1))</f>
        <v>36</v>
      </c>
      <c r="C789" s="1" t="str">
        <f>IFERROR(INDEX(Reaches!$G$7:$G$60,MATCH(B789,Reaches!$B$7:$B$60,0)),"")</f>
        <v/>
      </c>
      <c r="D789" s="3">
        <v>92761.763157894733</v>
      </c>
      <c r="E789">
        <v>180000</v>
      </c>
    </row>
    <row r="790" spans="1:6" x14ac:dyDescent="0.25">
      <c r="A790">
        <f>IF(ISBLANK(B790),A789,IFERROR(INDEX(Reaches!$A$7:$A$60,MATCH(B790,Reaches!$B$7:$B$60,0)),-1))</f>
        <v>36</v>
      </c>
      <c r="C790" s="1" t="str">
        <f>IFERROR(INDEX(Reaches!$G$7:$G$60,MATCH(B790,Reaches!$B$7:$B$60,0)),"")</f>
        <v/>
      </c>
      <c r="D790" s="3">
        <v>103761.76315789473</v>
      </c>
      <c r="E790">
        <v>200000</v>
      </c>
    </row>
    <row r="791" spans="1:6" x14ac:dyDescent="0.25">
      <c r="A791">
        <f>IF(ISBLANK(B791),A790,IFERROR(INDEX(Reaches!$A$7:$A$60,MATCH(B791,Reaches!$B$7:$B$60,0)),-1))</f>
        <v>36</v>
      </c>
      <c r="C791" s="1" t="str">
        <f>IFERROR(INDEX(Reaches!$G$7:$G$60,MATCH(B791,Reaches!$B$7:$B$60,0)),"")</f>
        <v/>
      </c>
      <c r="D791" s="3">
        <v>109261.76315789473</v>
      </c>
      <c r="E791">
        <v>210000</v>
      </c>
    </row>
    <row r="792" spans="1:6" x14ac:dyDescent="0.25">
      <c r="A792">
        <f>IF(ISBLANK(B792),A791,IFERROR(INDEX(Reaches!$A$7:$A$60,MATCH(B792,Reaches!$B$7:$B$60,0)),-1))</f>
        <v>36</v>
      </c>
      <c r="C792" s="1" t="str">
        <f>IFERROR(INDEX(Reaches!$G$7:$G$60,MATCH(B792,Reaches!$B$7:$B$60,0)),"")</f>
        <v/>
      </c>
      <c r="D792" s="3">
        <v>158761.76315789472</v>
      </c>
      <c r="E792">
        <v>300000</v>
      </c>
    </row>
    <row r="793" spans="1:6" x14ac:dyDescent="0.25">
      <c r="A793">
        <f>IF(ISBLANK(B793),A792,IFERROR(INDEX(Reaches!$A$7:$A$60,MATCH(B793,Reaches!$B$7:$B$60,0)),-1))</f>
        <v>36</v>
      </c>
      <c r="C793" s="1"/>
      <c r="D793" s="3">
        <v>200000</v>
      </c>
      <c r="E793">
        <v>374978</v>
      </c>
    </row>
    <row r="794" spans="1:6" x14ac:dyDescent="0.25">
      <c r="A794">
        <f>IF(ISBLANK(B794),A793,IFERROR(INDEX(Reaches!$A$7:$A$60,MATCH(B794,Reaches!$B$7:$B$60,0)),-1))</f>
        <v>36</v>
      </c>
      <c r="C794" s="1"/>
      <c r="D794" s="3">
        <v>250000</v>
      </c>
      <c r="E794">
        <v>465887</v>
      </c>
    </row>
    <row r="795" spans="1:6" x14ac:dyDescent="0.25">
      <c r="A795">
        <f>IF(ISBLANK(B795),A794,IFERROR(INDEX(Reaches!$A$7:$A$60,MATCH(B795,Reaches!$B$7:$B$60,0)),-1))</f>
        <v>36</v>
      </c>
      <c r="C795" s="1"/>
      <c r="D795">
        <f>ROUND(D794+(E795-E794)*(D794-D793)/(E794-E793),0)</f>
        <v>543762</v>
      </c>
      <c r="E795">
        <v>999999</v>
      </c>
    </row>
    <row r="796" spans="1:6" x14ac:dyDescent="0.25">
      <c r="A796">
        <f>IF(ISBLANK(B796),A795,IFERROR(INDEX(Reaches!$A$7:$A$60,MATCH(B796,Reaches!$B$7:$B$60,0)),-1))</f>
        <v>38</v>
      </c>
      <c r="B796" t="s">
        <v>31</v>
      </c>
      <c r="C796" s="1">
        <f>IFERROR(INDEX(Reaches!$G$7:$G$60,MATCH(B796,Reaches!$B$7:$B$60,0)),"")</f>
        <v>2</v>
      </c>
      <c r="D796" s="3">
        <v>0</v>
      </c>
      <c r="E796">
        <v>0</v>
      </c>
      <c r="F796" t="s">
        <v>228</v>
      </c>
    </row>
    <row r="797" spans="1:6" x14ac:dyDescent="0.25">
      <c r="A797">
        <f>IF(ISBLANK(B797),A796,IFERROR(INDEX(Reaches!$A$7:$A$60,MATCH(B797,Reaches!$B$7:$B$60,0)),-1))</f>
        <v>38</v>
      </c>
      <c r="C797" s="1" t="str">
        <f>IFERROR(INDEX(Reaches!$G$7:$G$60,MATCH(B797,Reaches!$B$7:$B$60,0)),"")</f>
        <v/>
      </c>
      <c r="D797" s="3">
        <v>4941</v>
      </c>
      <c r="E797">
        <v>2300</v>
      </c>
    </row>
    <row r="798" spans="1:6" x14ac:dyDescent="0.25">
      <c r="A798">
        <f>IF(ISBLANK(B798),A797,IFERROR(INDEX(Reaches!$A$7:$A$60,MATCH(B798,Reaches!$B$7:$B$60,0)),-1))</f>
        <v>38</v>
      </c>
      <c r="C798" s="1" t="str">
        <f>IFERROR(INDEX(Reaches!$G$7:$G$60,MATCH(B798,Reaches!$B$7:$B$60,0)),"")</f>
        <v/>
      </c>
      <c r="D798" s="3">
        <v>8277</v>
      </c>
      <c r="E798">
        <v>6500</v>
      </c>
    </row>
    <row r="799" spans="1:6" x14ac:dyDescent="0.25">
      <c r="A799">
        <f>IF(ISBLANK(B799),A798,IFERROR(INDEX(Reaches!$A$7:$A$60,MATCH(B799,Reaches!$B$7:$B$60,0)),-1))</f>
        <v>38</v>
      </c>
      <c r="C799" s="1" t="str">
        <f>IFERROR(INDEX(Reaches!$G$7:$G$60,MATCH(B799,Reaches!$B$7:$B$60,0)),"")</f>
        <v/>
      </c>
      <c r="D799" s="3">
        <v>15324.435897435897</v>
      </c>
      <c r="E799">
        <v>18000</v>
      </c>
    </row>
    <row r="800" spans="1:6" x14ac:dyDescent="0.25">
      <c r="A800">
        <f>IF(ISBLANK(B800),A799,IFERROR(INDEX(Reaches!$A$7:$A$60,MATCH(B800,Reaches!$B$7:$B$60,0)),-1))</f>
        <v>38</v>
      </c>
      <c r="C800" s="1" t="str">
        <f>IFERROR(INDEX(Reaches!$G$7:$G$60,MATCH(B800,Reaches!$B$7:$B$60,0)),"")</f>
        <v/>
      </c>
      <c r="D800" s="3">
        <v>22065.461538461539</v>
      </c>
      <c r="E800">
        <v>29000</v>
      </c>
    </row>
    <row r="801" spans="1:5" x14ac:dyDescent="0.25">
      <c r="A801">
        <f>IF(ISBLANK(B801),A800,IFERROR(INDEX(Reaches!$A$7:$A$60,MATCH(B801,Reaches!$B$7:$B$60,0)),-1))</f>
        <v>38</v>
      </c>
      <c r="C801" s="1" t="str">
        <f>IFERROR(INDEX(Reaches!$G$7:$G$60,MATCH(B801,Reaches!$B$7:$B$60,0)),"")</f>
        <v/>
      </c>
      <c r="D801" s="3">
        <v>29918.318681318677</v>
      </c>
      <c r="E801">
        <v>40500</v>
      </c>
    </row>
    <row r="802" spans="1:5" x14ac:dyDescent="0.25">
      <c r="A802">
        <f>IF(ISBLANK(B802),A801,IFERROR(INDEX(Reaches!$A$7:$A$60,MATCH(B802,Reaches!$B$7:$B$60,0)),-1))</f>
        <v>38</v>
      </c>
      <c r="C802" s="1" t="str">
        <f>IFERROR(INDEX(Reaches!$G$7:$G$60,MATCH(B802,Reaches!$B$7:$B$60,0)),"")</f>
        <v/>
      </c>
      <c r="D802" s="3">
        <v>42280.387646835916</v>
      </c>
      <c r="E802">
        <v>55500</v>
      </c>
    </row>
    <row r="803" spans="1:5" x14ac:dyDescent="0.25">
      <c r="A803">
        <f>IF(ISBLANK(B803),A802,IFERROR(INDEX(Reaches!$A$7:$A$60,MATCH(B803,Reaches!$B$7:$B$60,0)),-1))</f>
        <v>38</v>
      </c>
      <c r="C803" s="1" t="str">
        <f>IFERROR(INDEX(Reaches!$G$7:$G$60,MATCH(B803,Reaches!$B$7:$B$60,0)),"")</f>
        <v/>
      </c>
      <c r="D803" s="3">
        <v>64550.84219229046</v>
      </c>
      <c r="E803">
        <v>76000</v>
      </c>
    </row>
    <row r="804" spans="1:5" x14ac:dyDescent="0.25">
      <c r="A804">
        <f>IF(ISBLANK(B804),A803,IFERROR(INDEX(Reaches!$A$7:$A$60,MATCH(B804,Reaches!$B$7:$B$60,0)),-1))</f>
        <v>38</v>
      </c>
      <c r="C804" s="1" t="str">
        <f>IFERROR(INDEX(Reaches!$G$7:$G$60,MATCH(B804,Reaches!$B$7:$B$60,0)),"")</f>
        <v/>
      </c>
      <c r="D804" s="3">
        <v>69330.842192290467</v>
      </c>
      <c r="E804">
        <v>80000</v>
      </c>
    </row>
    <row r="805" spans="1:5" x14ac:dyDescent="0.25">
      <c r="A805">
        <f>IF(ISBLANK(B805),A804,IFERROR(INDEX(Reaches!$A$7:$A$60,MATCH(B805,Reaches!$B$7:$B$60,0)),-1))</f>
        <v>38</v>
      </c>
      <c r="C805" s="1" t="str">
        <f>IFERROR(INDEX(Reaches!$G$7:$G$60,MATCH(B805,Reaches!$B$7:$B$60,0)),"")</f>
        <v/>
      </c>
      <c r="D805" s="3">
        <v>82608.619970068248</v>
      </c>
      <c r="E805">
        <v>90000</v>
      </c>
    </row>
    <row r="806" spans="1:5" x14ac:dyDescent="0.25">
      <c r="A806">
        <f>IF(ISBLANK(B806),A805,IFERROR(INDEX(Reaches!$A$7:$A$60,MATCH(B806,Reaches!$B$7:$B$60,0)),-1))</f>
        <v>38</v>
      </c>
      <c r="C806" s="1" t="str">
        <f>IFERROR(INDEX(Reaches!$G$7:$G$60,MATCH(B806,Reaches!$B$7:$B$60,0)),"")</f>
        <v/>
      </c>
      <c r="D806" s="3">
        <v>102525.28663673491</v>
      </c>
      <c r="E806">
        <v>105000</v>
      </c>
    </row>
    <row r="807" spans="1:5" x14ac:dyDescent="0.25">
      <c r="A807">
        <f>IF(ISBLANK(B807),A806,IFERROR(INDEX(Reaches!$A$7:$A$60,MATCH(B807,Reaches!$B$7:$B$60,0)),-1))</f>
        <v>38</v>
      </c>
      <c r="C807" s="1" t="str">
        <f>IFERROR(INDEX(Reaches!$G$7:$G$60,MATCH(B807,Reaches!$B$7:$B$60,0)),"")</f>
        <v/>
      </c>
      <c r="D807" s="3">
        <v>121393.70768936646</v>
      </c>
      <c r="E807">
        <v>120000</v>
      </c>
    </row>
    <row r="808" spans="1:5" x14ac:dyDescent="0.25">
      <c r="A808">
        <f>IF(ISBLANK(B808),A807,IFERROR(INDEX(Reaches!$A$7:$A$60,MATCH(B808,Reaches!$B$7:$B$60,0)),-1))</f>
        <v>38</v>
      </c>
      <c r="C808" s="1" t="str">
        <f>IFERROR(INDEX(Reaches!$G$7:$G$60,MATCH(B808,Reaches!$B$7:$B$60,0)),"")</f>
        <v/>
      </c>
      <c r="D808" s="3">
        <v>139318.70768936648</v>
      </c>
      <c r="E808">
        <v>135000</v>
      </c>
    </row>
    <row r="809" spans="1:5" x14ac:dyDescent="0.25">
      <c r="A809">
        <f>IF(ISBLANK(B809),A808,IFERROR(INDEX(Reaches!$A$7:$A$60,MATCH(B809,Reaches!$B$7:$B$60,0)),-1))</f>
        <v>38</v>
      </c>
      <c r="C809" s="1" t="str">
        <f>IFERROR(INDEX(Reaches!$G$7:$G$60,MATCH(B809,Reaches!$B$7:$B$60,0)),"")</f>
        <v/>
      </c>
      <c r="D809" s="3">
        <v>153658.70768936648</v>
      </c>
      <c r="E809">
        <v>150000</v>
      </c>
    </row>
    <row r="810" spans="1:5" x14ac:dyDescent="0.25">
      <c r="A810">
        <f>IF(ISBLANK(B810),A809,IFERROR(INDEX(Reaches!$A$7:$A$60,MATCH(B810,Reaches!$B$7:$B$60,0)),-1))</f>
        <v>38</v>
      </c>
      <c r="C810" s="1" t="str">
        <f>IFERROR(INDEX(Reaches!$G$7:$G$60,MATCH(B810,Reaches!$B$7:$B$60,0)),"")</f>
        <v/>
      </c>
      <c r="D810" s="3">
        <v>170730.13626079503</v>
      </c>
      <c r="E810">
        <v>170000</v>
      </c>
    </row>
    <row r="811" spans="1:5" x14ac:dyDescent="0.25">
      <c r="A811">
        <f>IF(ISBLANK(B811),A810,IFERROR(INDEX(Reaches!$A$7:$A$60,MATCH(B811,Reaches!$B$7:$B$60,0)),-1))</f>
        <v>38</v>
      </c>
      <c r="C811" s="1" t="str">
        <f>IFERROR(INDEX(Reaches!$G$7:$G$60,MATCH(B811,Reaches!$B$7:$B$60,0)),"")</f>
        <v/>
      </c>
      <c r="D811" s="3">
        <v>187801.56483222358</v>
      </c>
      <c r="E811">
        <v>190000</v>
      </c>
    </row>
    <row r="812" spans="1:5" x14ac:dyDescent="0.25">
      <c r="A812">
        <f>IF(ISBLANK(B812),A811,IFERROR(INDEX(Reaches!$A$7:$A$60,MATCH(B812,Reaches!$B$7:$B$60,0)),-1))</f>
        <v>38</v>
      </c>
      <c r="C812" s="1" t="str">
        <f>IFERROR(INDEX(Reaches!$G$7:$G$60,MATCH(B812,Reaches!$B$7:$B$60,0)),"")</f>
        <v/>
      </c>
      <c r="D812" s="3">
        <v>209140.85054650929</v>
      </c>
      <c r="E812">
        <v>215000</v>
      </c>
    </row>
    <row r="813" spans="1:5" x14ac:dyDescent="0.25">
      <c r="A813">
        <f>IF(ISBLANK(B813),A812,IFERROR(INDEX(Reaches!$A$7:$A$60,MATCH(B813,Reaches!$B$7:$B$60,0)),-1))</f>
        <v>38</v>
      </c>
      <c r="C813" s="1" t="str">
        <f>IFERROR(INDEX(Reaches!$G$7:$G$60,MATCH(B813,Reaches!$B$7:$B$60,0)),"")</f>
        <v/>
      </c>
      <c r="D813" s="3">
        <v>226212.27911793787</v>
      </c>
      <c r="E813">
        <v>235000</v>
      </c>
    </row>
    <row r="814" spans="1:5" x14ac:dyDescent="0.25">
      <c r="A814">
        <f>IF(ISBLANK(B814),A813,IFERROR(INDEX(Reaches!$A$7:$A$60,MATCH(B814,Reaches!$B$7:$B$60,0)),-1))</f>
        <v>38</v>
      </c>
      <c r="C814" s="1" t="str">
        <f>IFERROR(INDEX(Reaches!$G$7:$G$60,MATCH(B814,Reaches!$B$7:$B$60,0)),"")</f>
        <v/>
      </c>
      <c r="D814" s="3">
        <v>239015.85054650929</v>
      </c>
      <c r="E814">
        <v>250000</v>
      </c>
    </row>
    <row r="815" spans="1:5" x14ac:dyDescent="0.25">
      <c r="A815">
        <f>IF(ISBLANK(B815),A814,IFERROR(INDEX(Reaches!$A$7:$A$60,MATCH(B815,Reaches!$B$7:$B$60,0)),-1))</f>
        <v>38</v>
      </c>
      <c r="C815" s="1" t="str">
        <f>IFERROR(INDEX(Reaches!$G$7:$G$60,MATCH(B815,Reaches!$B$7:$B$60,0)),"")</f>
        <v/>
      </c>
      <c r="D815" s="3">
        <v>324372.99340365216</v>
      </c>
      <c r="E815">
        <v>350000</v>
      </c>
    </row>
    <row r="816" spans="1:5" x14ac:dyDescent="0.25">
      <c r="A816">
        <f>IF(ISBLANK(B816),A815,IFERROR(INDEX(Reaches!$A$7:$A$60,MATCH(B816,Reaches!$B$7:$B$60,0)),-1))</f>
        <v>38</v>
      </c>
      <c r="C816" s="1" t="str">
        <f>IFERROR(INDEX(Reaches!$G$7:$G$60,MATCH(B816,Reaches!$B$7:$B$60,0)),"")</f>
        <v/>
      </c>
      <c r="D816" s="3">
        <v>452408.70768936642</v>
      </c>
      <c r="E816">
        <v>500000</v>
      </c>
    </row>
    <row r="817" spans="1:5" x14ac:dyDescent="0.25">
      <c r="A817">
        <f>IF(ISBLANK(B817),A816,IFERROR(INDEX(Reaches!$A$7:$A$60,MATCH(B817,Reaches!$B$7:$B$60,0)),-1))</f>
        <v>38</v>
      </c>
      <c r="C817" s="1"/>
      <c r="D817">
        <f>ROUND(D816+(E817-E816)*(D816-D815)/(E816-E815),0)</f>
        <v>1732765</v>
      </c>
      <c r="E817">
        <v>1999999</v>
      </c>
    </row>
    <row r="818" spans="1:5" x14ac:dyDescent="0.25">
      <c r="A818">
        <f>IF(ISBLANK(B818),A817,IFERROR(INDEX(Reaches!$A$7:$A$60,MATCH(B818,Reaches!$B$7:$B$60,0)),-1))</f>
        <v>39</v>
      </c>
      <c r="B818" t="s">
        <v>30</v>
      </c>
      <c r="C818" s="1">
        <f>IFERROR(INDEX(Reaches!$G$7:$G$60,MATCH(B818,Reaches!$B$7:$B$60,0)),"")</f>
        <v>4</v>
      </c>
      <c r="D818" s="3">
        <v>0</v>
      </c>
      <c r="E818">
        <v>0</v>
      </c>
    </row>
    <row r="819" spans="1:5" x14ac:dyDescent="0.25">
      <c r="A819">
        <f>IF(ISBLANK(B819),A818,IFERROR(INDEX(Reaches!$A$7:$A$60,MATCH(B819,Reaches!$B$7:$B$60,0)),-1))</f>
        <v>39</v>
      </c>
      <c r="C819" s="1" t="str">
        <f>IFERROR(INDEX(Reaches!$G$7:$G$60,MATCH(B819,Reaches!$B$7:$B$60,0)),"")</f>
        <v/>
      </c>
      <c r="D819" s="3">
        <v>8768</v>
      </c>
      <c r="E819">
        <v>3950</v>
      </c>
    </row>
    <row r="820" spans="1:5" x14ac:dyDescent="0.25">
      <c r="A820">
        <f>IF(ISBLANK(B820),A819,IFERROR(INDEX(Reaches!$A$7:$A$60,MATCH(B820,Reaches!$B$7:$B$60,0)),-1))</f>
        <v>39</v>
      </c>
      <c r="C820" s="1" t="str">
        <f>IFERROR(INDEX(Reaches!$G$7:$G$60,MATCH(B820,Reaches!$B$7:$B$60,0)),"")</f>
        <v/>
      </c>
      <c r="D820" s="3">
        <v>13840</v>
      </c>
      <c r="E820">
        <v>9000</v>
      </c>
    </row>
    <row r="821" spans="1:5" x14ac:dyDescent="0.25">
      <c r="A821">
        <f>IF(ISBLANK(B821),A820,IFERROR(INDEX(Reaches!$A$7:$A$60,MATCH(B821,Reaches!$B$7:$B$60,0)),-1))</f>
        <v>39</v>
      </c>
      <c r="C821" s="1" t="str">
        <f>IFERROR(INDEX(Reaches!$G$7:$G$60,MATCH(B821,Reaches!$B$7:$B$60,0)),"")</f>
        <v/>
      </c>
      <c r="D821" s="3">
        <v>23066</v>
      </c>
      <c r="E821">
        <v>20000</v>
      </c>
    </row>
    <row r="822" spans="1:5" x14ac:dyDescent="0.25">
      <c r="A822">
        <f>IF(ISBLANK(B822),A821,IFERROR(INDEX(Reaches!$A$7:$A$60,MATCH(B822,Reaches!$B$7:$B$60,0)),-1))</f>
        <v>39</v>
      </c>
      <c r="C822" s="1" t="str">
        <f>IFERROR(INDEX(Reaches!$G$7:$G$60,MATCH(B822,Reaches!$B$7:$B$60,0)),"")</f>
        <v/>
      </c>
      <c r="D822" s="3">
        <v>33885</v>
      </c>
      <c r="E822">
        <v>35000</v>
      </c>
    </row>
    <row r="823" spans="1:5" x14ac:dyDescent="0.25">
      <c r="A823">
        <f>IF(ISBLANK(B823),A822,IFERROR(INDEX(Reaches!$A$7:$A$60,MATCH(B823,Reaches!$B$7:$B$60,0)),-1))</f>
        <v>39</v>
      </c>
      <c r="C823" s="1" t="str">
        <f>IFERROR(INDEX(Reaches!$G$7:$G$60,MATCH(B823,Reaches!$B$7:$B$60,0)),"")</f>
        <v/>
      </c>
      <c r="D823" s="3">
        <v>44708</v>
      </c>
      <c r="E823">
        <v>50000</v>
      </c>
    </row>
    <row r="824" spans="1:5" x14ac:dyDescent="0.25">
      <c r="A824">
        <f>IF(ISBLANK(B824),A823,IFERROR(INDEX(Reaches!$A$7:$A$60,MATCH(B824,Reaches!$B$7:$B$60,0)),-1))</f>
        <v>39</v>
      </c>
      <c r="C824" s="1" t="str">
        <f>IFERROR(INDEX(Reaches!$G$7:$G$60,MATCH(B824,Reaches!$B$7:$B$60,0)),"")</f>
        <v/>
      </c>
      <c r="D824" s="3">
        <v>59597</v>
      </c>
      <c r="E824">
        <v>65000</v>
      </c>
    </row>
    <row r="825" spans="1:5" x14ac:dyDescent="0.25">
      <c r="A825">
        <f>IF(ISBLANK(B825),A824,IFERROR(INDEX(Reaches!$A$7:$A$60,MATCH(B825,Reaches!$B$7:$B$60,0)),-1))</f>
        <v>39</v>
      </c>
      <c r="C825" s="1" t="str">
        <f>IFERROR(INDEX(Reaches!$G$7:$G$60,MATCH(B825,Reaches!$B$7:$B$60,0)),"")</f>
        <v/>
      </c>
      <c r="D825" s="3">
        <v>81398</v>
      </c>
      <c r="E825">
        <v>80000</v>
      </c>
    </row>
    <row r="826" spans="1:5" x14ac:dyDescent="0.25">
      <c r="A826">
        <f>IF(ISBLANK(B826),A825,IFERROR(INDEX(Reaches!$A$7:$A$60,MATCH(B826,Reaches!$B$7:$B$60,0)),-1))</f>
        <v>39</v>
      </c>
      <c r="C826" s="1" t="str">
        <f>IFERROR(INDEX(Reaches!$G$7:$G$60,MATCH(B826,Reaches!$B$7:$B$60,0)),"")</f>
        <v/>
      </c>
      <c r="D826" s="3">
        <v>94363</v>
      </c>
      <c r="E826">
        <v>90000</v>
      </c>
    </row>
    <row r="827" spans="1:5" x14ac:dyDescent="0.25">
      <c r="A827">
        <f>IF(ISBLANK(B827),A826,IFERROR(INDEX(Reaches!$A$7:$A$60,MATCH(B827,Reaches!$B$7:$B$60,0)),-1))</f>
        <v>39</v>
      </c>
      <c r="C827" s="1" t="str">
        <f>IFERROR(INDEX(Reaches!$G$7:$G$60,MATCH(B827,Reaches!$B$7:$B$60,0)),"")</f>
        <v/>
      </c>
      <c r="D827" s="3">
        <v>107598</v>
      </c>
      <c r="E827">
        <v>100000</v>
      </c>
    </row>
    <row r="828" spans="1:5" x14ac:dyDescent="0.25">
      <c r="A828">
        <f>IF(ISBLANK(B828),A827,IFERROR(INDEX(Reaches!$A$7:$A$60,MATCH(B828,Reaches!$B$7:$B$60,0)),-1))</f>
        <v>39</v>
      </c>
      <c r="C828" s="1" t="str">
        <f>IFERROR(INDEX(Reaches!$G$7:$G$60,MATCH(B828,Reaches!$B$7:$B$60,0)),"")</f>
        <v/>
      </c>
      <c r="D828" s="3">
        <v>128488</v>
      </c>
      <c r="E828">
        <v>115000</v>
      </c>
    </row>
    <row r="829" spans="1:5" x14ac:dyDescent="0.25">
      <c r="A829">
        <f>IF(ISBLANK(B829),A828,IFERROR(INDEX(Reaches!$A$7:$A$60,MATCH(B829,Reaches!$B$7:$B$60,0)),-1))</f>
        <v>39</v>
      </c>
      <c r="C829" s="1" t="str">
        <f>IFERROR(INDEX(Reaches!$G$7:$G$60,MATCH(B829,Reaches!$B$7:$B$60,0)),"")</f>
        <v/>
      </c>
      <c r="D829" s="3">
        <v>150887</v>
      </c>
      <c r="E829">
        <v>130000</v>
      </c>
    </row>
    <row r="830" spans="1:5" x14ac:dyDescent="0.25">
      <c r="A830">
        <f>IF(ISBLANK(B830),A829,IFERROR(INDEX(Reaches!$A$7:$A$60,MATCH(B830,Reaches!$B$7:$B$60,0)),-1))</f>
        <v>39</v>
      </c>
      <c r="C830" s="1" t="str">
        <f>IFERROR(INDEX(Reaches!$G$7:$G$60,MATCH(B830,Reaches!$B$7:$B$60,0)),"")</f>
        <v/>
      </c>
      <c r="D830" s="3">
        <v>174545</v>
      </c>
      <c r="E830">
        <v>145000</v>
      </c>
    </row>
    <row r="831" spans="1:5" x14ac:dyDescent="0.25">
      <c r="A831">
        <f>IF(ISBLANK(B831),A830,IFERROR(INDEX(Reaches!$A$7:$A$60,MATCH(B831,Reaches!$B$7:$B$60,0)),-1))</f>
        <v>39</v>
      </c>
      <c r="C831" s="1" t="str">
        <f>IFERROR(INDEX(Reaches!$G$7:$G$60,MATCH(B831,Reaches!$B$7:$B$60,0)),"")</f>
        <v/>
      </c>
      <c r="D831" s="3">
        <v>199182</v>
      </c>
      <c r="E831">
        <v>160000</v>
      </c>
    </row>
    <row r="832" spans="1:5" x14ac:dyDescent="0.25">
      <c r="A832">
        <f>IF(ISBLANK(B832),A831,IFERROR(INDEX(Reaches!$A$7:$A$60,MATCH(B832,Reaches!$B$7:$B$60,0)),-1))</f>
        <v>39</v>
      </c>
      <c r="C832" s="1" t="str">
        <f>IFERROR(INDEX(Reaches!$G$7:$G$60,MATCH(B832,Reaches!$B$7:$B$60,0)),"")</f>
        <v/>
      </c>
      <c r="D832" s="3">
        <v>230164</v>
      </c>
      <c r="E832">
        <v>175000</v>
      </c>
    </row>
    <row r="833" spans="1:5" x14ac:dyDescent="0.25">
      <c r="A833">
        <f>IF(ISBLANK(B833),A832,IFERROR(INDEX(Reaches!$A$7:$A$60,MATCH(B833,Reaches!$B$7:$B$60,0)),-1))</f>
        <v>39</v>
      </c>
      <c r="C833" s="1" t="str">
        <f>IFERROR(INDEX(Reaches!$G$7:$G$60,MATCH(B833,Reaches!$B$7:$B$60,0)),"")</f>
        <v/>
      </c>
      <c r="D833" s="3">
        <v>266190</v>
      </c>
      <c r="E833">
        <v>195000</v>
      </c>
    </row>
    <row r="834" spans="1:5" x14ac:dyDescent="0.25">
      <c r="A834">
        <f>IF(ISBLANK(B834),A833,IFERROR(INDEX(Reaches!$A$7:$A$60,MATCH(B834,Reaches!$B$7:$B$60,0)),-1))</f>
        <v>39</v>
      </c>
      <c r="C834" s="1" t="str">
        <f>IFERROR(INDEX(Reaches!$G$7:$G$60,MATCH(B834,Reaches!$B$7:$B$60,0)),"")</f>
        <v/>
      </c>
      <c r="D834" s="3">
        <v>306909</v>
      </c>
      <c r="E834">
        <v>215000</v>
      </c>
    </row>
    <row r="835" spans="1:5" x14ac:dyDescent="0.25">
      <c r="A835">
        <f>IF(ISBLANK(B835),A834,IFERROR(INDEX(Reaches!$A$7:$A$60,MATCH(B835,Reaches!$B$7:$B$60,0)),-1))</f>
        <v>39</v>
      </c>
      <c r="C835" s="1" t="str">
        <f>IFERROR(INDEX(Reaches!$G$7:$G$60,MATCH(B835,Reaches!$B$7:$B$60,0)),"")</f>
        <v/>
      </c>
      <c r="D835" s="3">
        <v>344225</v>
      </c>
      <c r="E835">
        <v>235000</v>
      </c>
    </row>
    <row r="836" spans="1:5" x14ac:dyDescent="0.25">
      <c r="A836">
        <f>IF(ISBLANK(B836),A835,IFERROR(INDEX(Reaches!$A$7:$A$60,MATCH(B836,Reaches!$B$7:$B$60,0)),-1))</f>
        <v>39</v>
      </c>
      <c r="C836" s="1" t="str">
        <f>IFERROR(INDEX(Reaches!$G$7:$G$60,MATCH(B836,Reaches!$B$7:$B$60,0)),"")</f>
        <v/>
      </c>
      <c r="D836" s="3">
        <v>373749</v>
      </c>
      <c r="E836">
        <v>250000</v>
      </c>
    </row>
    <row r="837" spans="1:5" x14ac:dyDescent="0.25">
      <c r="A837">
        <f>IF(ISBLANK(B837),A836,IFERROR(INDEX(Reaches!$A$7:$A$60,MATCH(B837,Reaches!$B$7:$B$60,0)),-1))</f>
        <v>39</v>
      </c>
      <c r="C837" s="1" t="str">
        <f>IFERROR(INDEX(Reaches!$G$7:$G$60,MATCH(B837,Reaches!$B$7:$B$60,0)),"")</f>
        <v/>
      </c>
      <c r="D837" s="3">
        <v>571868</v>
      </c>
      <c r="E837">
        <v>350000</v>
      </c>
    </row>
    <row r="838" spans="1:5" x14ac:dyDescent="0.25">
      <c r="A838">
        <f>IF(ISBLANK(B838),A837,IFERROR(INDEX(Reaches!$A$7:$A$60,MATCH(B838,Reaches!$B$7:$B$60,0)),-1))</f>
        <v>39</v>
      </c>
      <c r="C838" s="1" t="str">
        <f>IFERROR(INDEX(Reaches!$G$7:$G$60,MATCH(B838,Reaches!$B$7:$B$60,0)),"")</f>
        <v/>
      </c>
      <c r="D838" s="3">
        <v>854373</v>
      </c>
      <c r="E838">
        <v>500000</v>
      </c>
    </row>
    <row r="839" spans="1:5" x14ac:dyDescent="0.25">
      <c r="A839">
        <f>IF(ISBLANK(B839),A838,IFERROR(INDEX(Reaches!$A$7:$A$60,MATCH(B839,Reaches!$B$7:$B$60,0)),-1))</f>
        <v>39</v>
      </c>
      <c r="C839" s="1"/>
      <c r="D839" s="3">
        <v>900000</v>
      </c>
      <c r="E839">
        <v>524226</v>
      </c>
    </row>
    <row r="840" spans="1:5" x14ac:dyDescent="0.25">
      <c r="A840">
        <f>IF(ISBLANK(B840),A839,IFERROR(INDEX(Reaches!$A$7:$A$60,MATCH(B840,Reaches!$B$7:$B$60,0)),-1))</f>
        <v>39</v>
      </c>
      <c r="C840" s="1"/>
      <c r="D840">
        <f>ROUND(D839+(E840-E839)*(D839-D838)/(E839-E838),0)</f>
        <v>3679456</v>
      </c>
      <c r="E840">
        <v>1999999</v>
      </c>
    </row>
    <row r="841" spans="1:5" x14ac:dyDescent="0.25">
      <c r="A841">
        <f>IF(ISBLANK(B841),A840,IFERROR(INDEX(Reaches!$A$7:$A$60,MATCH(B841,Reaches!$B$7:$B$60,0)),-1))</f>
        <v>41</v>
      </c>
      <c r="B841" t="s">
        <v>29</v>
      </c>
      <c r="C841" s="1">
        <f>IFERROR(INDEX(Reaches!$G$7:$G$60,MATCH(B841,Reaches!$B$7:$B$60,0)),"")</f>
        <v>1</v>
      </c>
      <c r="D841" s="3">
        <v>0</v>
      </c>
      <c r="E841">
        <v>0</v>
      </c>
    </row>
    <row r="842" spans="1:5" x14ac:dyDescent="0.25">
      <c r="A842">
        <f>IF(ISBLANK(B842),A841,IFERROR(INDEX(Reaches!$A$7:$A$60,MATCH(B842,Reaches!$B$7:$B$60,0)),-1))</f>
        <v>41</v>
      </c>
      <c r="C842" s="1" t="str">
        <f>IFERROR(INDEX(Reaches!$G$7:$G$60,MATCH(B842,Reaches!$B$7:$B$60,0)),"")</f>
        <v/>
      </c>
      <c r="D842" s="3">
        <v>23044</v>
      </c>
      <c r="E842">
        <v>4000</v>
      </c>
    </row>
    <row r="843" spans="1:5" x14ac:dyDescent="0.25">
      <c r="A843">
        <f>IF(ISBLANK(B843),A842,IFERROR(INDEX(Reaches!$A$7:$A$60,MATCH(B843,Reaches!$B$7:$B$60,0)),-1))</f>
        <v>41</v>
      </c>
      <c r="C843" s="1" t="str">
        <f>IFERROR(INDEX(Reaches!$G$7:$G$60,MATCH(B843,Reaches!$B$7:$B$60,0)),"")</f>
        <v/>
      </c>
      <c r="D843" s="3">
        <v>23957</v>
      </c>
      <c r="E843">
        <v>9000</v>
      </c>
    </row>
    <row r="844" spans="1:5" x14ac:dyDescent="0.25">
      <c r="A844">
        <f>IF(ISBLANK(B844),A843,IFERROR(INDEX(Reaches!$A$7:$A$60,MATCH(B844,Reaches!$B$7:$B$60,0)),-1))</f>
        <v>41</v>
      </c>
      <c r="C844" s="1" t="str">
        <f>IFERROR(INDEX(Reaches!$G$7:$G$60,MATCH(B844,Reaches!$B$7:$B$60,0)),"")</f>
        <v/>
      </c>
      <c r="D844" s="3">
        <v>26258</v>
      </c>
      <c r="E844">
        <v>20000</v>
      </c>
    </row>
    <row r="845" spans="1:5" x14ac:dyDescent="0.25">
      <c r="A845">
        <f>IF(ISBLANK(B845),A844,IFERROR(INDEX(Reaches!$A$7:$A$60,MATCH(B845,Reaches!$B$7:$B$60,0)),-1))</f>
        <v>41</v>
      </c>
      <c r="C845" s="1" t="str">
        <f>IFERROR(INDEX(Reaches!$G$7:$G$60,MATCH(B845,Reaches!$B$7:$B$60,0)),"")</f>
        <v/>
      </c>
      <c r="D845" s="3">
        <v>28742</v>
      </c>
      <c r="E845">
        <v>35000</v>
      </c>
    </row>
    <row r="846" spans="1:5" x14ac:dyDescent="0.25">
      <c r="A846">
        <f>IF(ISBLANK(B846),A845,IFERROR(INDEX(Reaches!$A$7:$A$60,MATCH(B846,Reaches!$B$7:$B$60,0)),-1))</f>
        <v>41</v>
      </c>
      <c r="C846" s="1" t="str">
        <f>IFERROR(INDEX(Reaches!$G$7:$G$60,MATCH(B846,Reaches!$B$7:$B$60,0)),"")</f>
        <v/>
      </c>
      <c r="D846" s="3">
        <v>31276</v>
      </c>
      <c r="E846">
        <v>50000</v>
      </c>
    </row>
    <row r="847" spans="1:5" x14ac:dyDescent="0.25">
      <c r="A847">
        <f>IF(ISBLANK(B847),A846,IFERROR(INDEX(Reaches!$A$7:$A$60,MATCH(B847,Reaches!$B$7:$B$60,0)),-1))</f>
        <v>41</v>
      </c>
      <c r="C847" s="1" t="str">
        <f>IFERROR(INDEX(Reaches!$G$7:$G$60,MATCH(B847,Reaches!$B$7:$B$60,0)),"")</f>
        <v/>
      </c>
      <c r="D847" s="3">
        <v>33762</v>
      </c>
      <c r="E847">
        <v>65000</v>
      </c>
    </row>
    <row r="848" spans="1:5" x14ac:dyDescent="0.25">
      <c r="A848">
        <f>IF(ISBLANK(B848),A847,IFERROR(INDEX(Reaches!$A$7:$A$60,MATCH(B848,Reaches!$B$7:$B$60,0)),-1))</f>
        <v>41</v>
      </c>
      <c r="C848" s="1" t="str">
        <f>IFERROR(INDEX(Reaches!$G$7:$G$60,MATCH(B848,Reaches!$B$7:$B$60,0)),"")</f>
        <v/>
      </c>
      <c r="D848" s="3">
        <v>36358</v>
      </c>
      <c r="E848">
        <v>80000</v>
      </c>
    </row>
    <row r="849" spans="1:5" x14ac:dyDescent="0.25">
      <c r="A849">
        <f>IF(ISBLANK(B849),A848,IFERROR(INDEX(Reaches!$A$7:$A$60,MATCH(B849,Reaches!$B$7:$B$60,0)),-1))</f>
        <v>41</v>
      </c>
      <c r="C849" s="1" t="str">
        <f>IFERROR(INDEX(Reaches!$G$7:$G$60,MATCH(B849,Reaches!$B$7:$B$60,0)),"")</f>
        <v/>
      </c>
      <c r="D849" s="3">
        <v>38599</v>
      </c>
      <c r="E849">
        <v>90000</v>
      </c>
    </row>
    <row r="850" spans="1:5" x14ac:dyDescent="0.25">
      <c r="A850">
        <f>IF(ISBLANK(B850),A849,IFERROR(INDEX(Reaches!$A$7:$A$60,MATCH(B850,Reaches!$B$7:$B$60,0)),-1))</f>
        <v>41</v>
      </c>
      <c r="C850" s="1" t="str">
        <f>IFERROR(INDEX(Reaches!$G$7:$G$60,MATCH(B850,Reaches!$B$7:$B$60,0)),"")</f>
        <v/>
      </c>
      <c r="D850" s="3">
        <v>40124</v>
      </c>
      <c r="E850">
        <v>100000</v>
      </c>
    </row>
    <row r="851" spans="1:5" x14ac:dyDescent="0.25">
      <c r="A851">
        <f>IF(ISBLANK(B851),A850,IFERROR(INDEX(Reaches!$A$7:$A$60,MATCH(B851,Reaches!$B$7:$B$60,0)),-1))</f>
        <v>41</v>
      </c>
      <c r="C851" s="1" t="str">
        <f>IFERROR(INDEX(Reaches!$G$7:$G$60,MATCH(B851,Reaches!$B$7:$B$60,0)),"")</f>
        <v/>
      </c>
      <c r="D851" s="3">
        <v>42492</v>
      </c>
      <c r="E851">
        <v>115000</v>
      </c>
    </row>
    <row r="852" spans="1:5" x14ac:dyDescent="0.25">
      <c r="A852">
        <f>IF(ISBLANK(B852),A851,IFERROR(INDEX(Reaches!$A$7:$A$60,MATCH(B852,Reaches!$B$7:$B$60,0)),-1))</f>
        <v>41</v>
      </c>
      <c r="C852" s="1" t="str">
        <f>IFERROR(INDEX(Reaches!$G$7:$G$60,MATCH(B852,Reaches!$B$7:$B$60,0)),"")</f>
        <v/>
      </c>
      <c r="D852" s="3">
        <v>44856</v>
      </c>
      <c r="E852">
        <v>130000</v>
      </c>
    </row>
    <row r="853" spans="1:5" x14ac:dyDescent="0.25">
      <c r="A853">
        <f>IF(ISBLANK(B853),A852,IFERROR(INDEX(Reaches!$A$7:$A$60,MATCH(B853,Reaches!$B$7:$B$60,0)),-1))</f>
        <v>41</v>
      </c>
      <c r="C853" s="1" t="str">
        <f>IFERROR(INDEX(Reaches!$G$7:$G$60,MATCH(B853,Reaches!$B$7:$B$60,0)),"")</f>
        <v/>
      </c>
      <c r="D853" s="3">
        <v>47245</v>
      </c>
      <c r="E853">
        <v>145000</v>
      </c>
    </row>
    <row r="854" spans="1:5" x14ac:dyDescent="0.25">
      <c r="A854">
        <f>IF(ISBLANK(B854),A853,IFERROR(INDEX(Reaches!$A$7:$A$60,MATCH(B854,Reaches!$B$7:$B$60,0)),-1))</f>
        <v>41</v>
      </c>
      <c r="C854" s="1" t="str">
        <f>IFERROR(INDEX(Reaches!$G$7:$G$60,MATCH(B854,Reaches!$B$7:$B$60,0)),"")</f>
        <v/>
      </c>
      <c r="D854" s="3">
        <v>49615</v>
      </c>
      <c r="E854">
        <v>160000</v>
      </c>
    </row>
    <row r="855" spans="1:5" x14ac:dyDescent="0.25">
      <c r="A855">
        <f>IF(ISBLANK(B855),A854,IFERROR(INDEX(Reaches!$A$7:$A$60,MATCH(B855,Reaches!$B$7:$B$60,0)),-1))</f>
        <v>41</v>
      </c>
      <c r="C855" s="1" t="str">
        <f>IFERROR(INDEX(Reaches!$G$7:$G$60,MATCH(B855,Reaches!$B$7:$B$60,0)),"")</f>
        <v/>
      </c>
      <c r="D855" s="3">
        <v>52156</v>
      </c>
      <c r="E855">
        <v>175000</v>
      </c>
    </row>
    <row r="856" spans="1:5" x14ac:dyDescent="0.25">
      <c r="A856">
        <f>IF(ISBLANK(B856),A855,IFERROR(INDEX(Reaches!$A$7:$A$60,MATCH(B856,Reaches!$B$7:$B$60,0)),-1))</f>
        <v>41</v>
      </c>
      <c r="C856" s="1" t="str">
        <f>IFERROR(INDEX(Reaches!$G$7:$G$60,MATCH(B856,Reaches!$B$7:$B$60,0)),"")</f>
        <v/>
      </c>
      <c r="D856" s="3">
        <v>55821</v>
      </c>
      <c r="E856">
        <v>195000</v>
      </c>
    </row>
    <row r="857" spans="1:5" x14ac:dyDescent="0.25">
      <c r="A857">
        <f>IF(ISBLANK(B857),A856,IFERROR(INDEX(Reaches!$A$7:$A$60,MATCH(B857,Reaches!$B$7:$B$60,0)),-1))</f>
        <v>41</v>
      </c>
      <c r="C857" s="1" t="str">
        <f>IFERROR(INDEX(Reaches!$G$7:$G$60,MATCH(B857,Reaches!$B$7:$B$60,0)),"")</f>
        <v/>
      </c>
      <c r="D857" s="3">
        <v>59330</v>
      </c>
      <c r="E857">
        <v>215000</v>
      </c>
    </row>
    <row r="858" spans="1:5" x14ac:dyDescent="0.25">
      <c r="A858">
        <f>IF(ISBLANK(B858),A857,IFERROR(INDEX(Reaches!$A$7:$A$60,MATCH(B858,Reaches!$B$7:$B$60,0)),-1))</f>
        <v>41</v>
      </c>
      <c r="C858" s="1" t="str">
        <f>IFERROR(INDEX(Reaches!$G$7:$G$60,MATCH(B858,Reaches!$B$7:$B$60,0)),"")</f>
        <v/>
      </c>
      <c r="D858" s="3">
        <v>63303</v>
      </c>
      <c r="E858">
        <v>235000</v>
      </c>
    </row>
    <row r="859" spans="1:5" x14ac:dyDescent="0.25">
      <c r="A859">
        <f>IF(ISBLANK(B859),A858,IFERROR(INDEX(Reaches!$A$7:$A$60,MATCH(B859,Reaches!$B$7:$B$60,0)),-1))</f>
        <v>41</v>
      </c>
      <c r="C859" s="1" t="str">
        <f>IFERROR(INDEX(Reaches!$G$7:$G$60,MATCH(B859,Reaches!$B$7:$B$60,0)),"")</f>
        <v/>
      </c>
      <c r="D859" s="3">
        <v>67022</v>
      </c>
      <c r="E859">
        <v>250000</v>
      </c>
    </row>
    <row r="860" spans="1:5" x14ac:dyDescent="0.25">
      <c r="A860">
        <f>IF(ISBLANK(B860),A859,IFERROR(INDEX(Reaches!$A$7:$A$60,MATCH(B860,Reaches!$B$7:$B$60,0)),-1))</f>
        <v>41</v>
      </c>
      <c r="C860" s="1" t="str">
        <f>IFERROR(INDEX(Reaches!$G$7:$G$60,MATCH(B860,Reaches!$B$7:$B$60,0)),"")</f>
        <v/>
      </c>
      <c r="D860" s="3">
        <v>95781</v>
      </c>
      <c r="E860">
        <v>350000</v>
      </c>
    </row>
    <row r="861" spans="1:5" x14ac:dyDescent="0.25">
      <c r="A861">
        <f>IF(ISBLANK(B861),A860,IFERROR(INDEX(Reaches!$A$7:$A$60,MATCH(B861,Reaches!$B$7:$B$60,0)),-1))</f>
        <v>41</v>
      </c>
      <c r="C861" s="1" t="str">
        <f>IFERROR(INDEX(Reaches!$G$7:$G$60,MATCH(B861,Reaches!$B$7:$B$60,0)),"")</f>
        <v/>
      </c>
      <c r="D861" s="3">
        <v>145020</v>
      </c>
      <c r="E861">
        <v>500000</v>
      </c>
    </row>
    <row r="862" spans="1:5" x14ac:dyDescent="0.25">
      <c r="A862">
        <f>IF(ISBLANK(B862),A861,IFERROR(INDEX(Reaches!$A$7:$A$60,MATCH(B862,Reaches!$B$7:$B$60,0)),-1))</f>
        <v>41</v>
      </c>
      <c r="C862" s="1"/>
      <c r="D862">
        <f>ROUND(D861+(E862-E861)*(D861-D860)/(E861-E860),0)</f>
        <v>637410</v>
      </c>
      <c r="E862">
        <v>1999999</v>
      </c>
    </row>
    <row r="863" spans="1:5" x14ac:dyDescent="0.25">
      <c r="A863">
        <f>IF(ISBLANK(B863),A862,IFERROR(INDEX(Reaches!$A$7:$A$60,MATCH(B863,Reaches!$B$7:$B$60,0)),-1))</f>
        <v>44</v>
      </c>
      <c r="B863" t="s">
        <v>26</v>
      </c>
      <c r="C863" s="1">
        <f>IFERROR(INDEX(Reaches!$G$7:$G$60,MATCH(B863,Reaches!$B$7:$B$60,0)),"")</f>
        <v>1</v>
      </c>
      <c r="D863" s="3">
        <v>0</v>
      </c>
      <c r="E863">
        <v>0</v>
      </c>
    </row>
    <row r="864" spans="1:5" x14ac:dyDescent="0.25">
      <c r="A864">
        <f>IF(ISBLANK(B864),A863,IFERROR(INDEX(Reaches!$A$7:$A$60,MATCH(B864,Reaches!$B$7:$B$60,0)),-1))</f>
        <v>44</v>
      </c>
      <c r="C864" s="1" t="str">
        <f>IFERROR(INDEX(Reaches!$G$7:$G$60,MATCH(B864,Reaches!$B$7:$B$60,0)),"")</f>
        <v/>
      </c>
      <c r="D864" s="3">
        <v>25236</v>
      </c>
      <c r="E864">
        <v>4500</v>
      </c>
    </row>
    <row r="865" spans="1:5" x14ac:dyDescent="0.25">
      <c r="A865">
        <f>IF(ISBLANK(B865),A864,IFERROR(INDEX(Reaches!$A$7:$A$60,MATCH(B865,Reaches!$B$7:$B$60,0)),-1))</f>
        <v>44</v>
      </c>
      <c r="C865" s="1" t="str">
        <f>IFERROR(INDEX(Reaches!$G$7:$G$60,MATCH(B865,Reaches!$B$7:$B$60,0)),"")</f>
        <v/>
      </c>
      <c r="D865" s="3">
        <v>25951</v>
      </c>
      <c r="E865">
        <v>10000</v>
      </c>
    </row>
    <row r="866" spans="1:5" x14ac:dyDescent="0.25">
      <c r="A866">
        <f>IF(ISBLANK(B866),A865,IFERROR(INDEX(Reaches!$A$7:$A$60,MATCH(B866,Reaches!$B$7:$B$60,0)),-1))</f>
        <v>44</v>
      </c>
      <c r="C866" s="1" t="str">
        <f>IFERROR(INDEX(Reaches!$G$7:$G$60,MATCH(B866,Reaches!$B$7:$B$60,0)),"")</f>
        <v/>
      </c>
      <c r="D866" s="3">
        <v>27545</v>
      </c>
      <c r="E866">
        <v>25000</v>
      </c>
    </row>
    <row r="867" spans="1:5" x14ac:dyDescent="0.25">
      <c r="A867">
        <f>IF(ISBLANK(B867),A866,IFERROR(INDEX(Reaches!$A$7:$A$60,MATCH(B867,Reaches!$B$7:$B$60,0)),-1))</f>
        <v>44</v>
      </c>
      <c r="C867" s="1" t="str">
        <f>IFERROR(INDEX(Reaches!$G$7:$G$60,MATCH(B867,Reaches!$B$7:$B$60,0)),"")</f>
        <v/>
      </c>
      <c r="D867" s="3">
        <v>28961</v>
      </c>
      <c r="E867">
        <v>40000</v>
      </c>
    </row>
    <row r="868" spans="1:5" x14ac:dyDescent="0.25">
      <c r="A868">
        <f>IF(ISBLANK(B868),A867,IFERROR(INDEX(Reaches!$A$7:$A$60,MATCH(B868,Reaches!$B$7:$B$60,0)),-1))</f>
        <v>44</v>
      </c>
      <c r="C868" s="1" t="str">
        <f>IFERROR(INDEX(Reaches!$G$7:$G$60,MATCH(B868,Reaches!$B$7:$B$60,0)),"")</f>
        <v/>
      </c>
      <c r="D868" s="3">
        <v>30328</v>
      </c>
      <c r="E868">
        <v>55000</v>
      </c>
    </row>
    <row r="869" spans="1:5" x14ac:dyDescent="0.25">
      <c r="A869">
        <f>IF(ISBLANK(B869),A868,IFERROR(INDEX(Reaches!$A$7:$A$60,MATCH(B869,Reaches!$B$7:$B$60,0)),-1))</f>
        <v>44</v>
      </c>
      <c r="C869" s="1" t="str">
        <f>IFERROR(INDEX(Reaches!$G$7:$G$60,MATCH(B869,Reaches!$B$7:$B$60,0)),"")</f>
        <v/>
      </c>
      <c r="D869" s="3">
        <v>31662</v>
      </c>
      <c r="E869">
        <v>70000</v>
      </c>
    </row>
    <row r="870" spans="1:5" x14ac:dyDescent="0.25">
      <c r="A870">
        <f>IF(ISBLANK(B870),A869,IFERROR(INDEX(Reaches!$A$7:$A$60,MATCH(B870,Reaches!$B$7:$B$60,0)),-1))</f>
        <v>44</v>
      </c>
      <c r="C870" s="1" t="str">
        <f>IFERROR(INDEX(Reaches!$G$7:$G$60,MATCH(B870,Reaches!$B$7:$B$60,0)),"")</f>
        <v/>
      </c>
      <c r="D870" s="3">
        <v>33225</v>
      </c>
      <c r="E870">
        <v>85000</v>
      </c>
    </row>
    <row r="871" spans="1:5" x14ac:dyDescent="0.25">
      <c r="A871">
        <f>IF(ISBLANK(B871),A870,IFERROR(INDEX(Reaches!$A$7:$A$60,MATCH(B871,Reaches!$B$7:$B$60,0)),-1))</f>
        <v>44</v>
      </c>
      <c r="C871" s="1" t="str">
        <f>IFERROR(INDEX(Reaches!$G$7:$G$60,MATCH(B871,Reaches!$B$7:$B$60,0)),"")</f>
        <v/>
      </c>
      <c r="D871" s="3">
        <v>34740</v>
      </c>
      <c r="E871">
        <v>100000</v>
      </c>
    </row>
    <row r="872" spans="1:5" x14ac:dyDescent="0.25">
      <c r="A872">
        <f>IF(ISBLANK(B872),A871,IFERROR(INDEX(Reaches!$A$7:$A$60,MATCH(B872,Reaches!$B$7:$B$60,0)),-1))</f>
        <v>44</v>
      </c>
      <c r="C872" s="1" t="str">
        <f>IFERROR(INDEX(Reaches!$G$7:$G$60,MATCH(B872,Reaches!$B$7:$B$60,0)),"")</f>
        <v/>
      </c>
      <c r="D872" s="3">
        <v>35562</v>
      </c>
      <c r="E872">
        <v>110000</v>
      </c>
    </row>
    <row r="873" spans="1:5" x14ac:dyDescent="0.25">
      <c r="A873">
        <f>IF(ISBLANK(B873),A872,IFERROR(INDEX(Reaches!$A$7:$A$60,MATCH(B873,Reaches!$B$7:$B$60,0)),-1))</f>
        <v>44</v>
      </c>
      <c r="C873" s="1" t="str">
        <f>IFERROR(INDEX(Reaches!$G$7:$G$60,MATCH(B873,Reaches!$B$7:$B$60,0)),"")</f>
        <v/>
      </c>
      <c r="D873" s="3">
        <v>36803</v>
      </c>
      <c r="E873">
        <v>125000</v>
      </c>
    </row>
    <row r="874" spans="1:5" x14ac:dyDescent="0.25">
      <c r="A874">
        <f>IF(ISBLANK(B874),A873,IFERROR(INDEX(Reaches!$A$7:$A$60,MATCH(B874,Reaches!$B$7:$B$60,0)),-1))</f>
        <v>44</v>
      </c>
      <c r="C874" s="1" t="str">
        <f>IFERROR(INDEX(Reaches!$G$7:$G$60,MATCH(B874,Reaches!$B$7:$B$60,0)),"")</f>
        <v/>
      </c>
      <c r="D874" s="3">
        <v>38081</v>
      </c>
      <c r="E874">
        <v>140000</v>
      </c>
    </row>
    <row r="875" spans="1:5" x14ac:dyDescent="0.25">
      <c r="A875">
        <f>IF(ISBLANK(B875),A874,IFERROR(INDEX(Reaches!$A$7:$A$60,MATCH(B875,Reaches!$B$7:$B$60,0)),-1))</f>
        <v>44</v>
      </c>
      <c r="C875" s="1" t="str">
        <f>IFERROR(INDEX(Reaches!$G$7:$G$60,MATCH(B875,Reaches!$B$7:$B$60,0)),"")</f>
        <v/>
      </c>
      <c r="D875" s="3">
        <v>39432</v>
      </c>
      <c r="E875">
        <v>155000</v>
      </c>
    </row>
    <row r="876" spans="1:5" x14ac:dyDescent="0.25">
      <c r="A876">
        <f>IF(ISBLANK(B876),A875,IFERROR(INDEX(Reaches!$A$7:$A$60,MATCH(B876,Reaches!$B$7:$B$60,0)),-1))</f>
        <v>44</v>
      </c>
      <c r="C876" s="1" t="str">
        <f>IFERROR(INDEX(Reaches!$G$7:$G$60,MATCH(B876,Reaches!$B$7:$B$60,0)),"")</f>
        <v/>
      </c>
      <c r="D876" s="3">
        <v>40638</v>
      </c>
      <c r="E876">
        <v>170000</v>
      </c>
    </row>
    <row r="877" spans="1:5" x14ac:dyDescent="0.25">
      <c r="A877">
        <f>IF(ISBLANK(B877),A876,IFERROR(INDEX(Reaches!$A$7:$A$60,MATCH(B877,Reaches!$B$7:$B$60,0)),-1))</f>
        <v>44</v>
      </c>
      <c r="C877" s="1" t="str">
        <f>IFERROR(INDEX(Reaches!$G$7:$G$60,MATCH(B877,Reaches!$B$7:$B$60,0)),"")</f>
        <v/>
      </c>
      <c r="D877" s="3">
        <v>42075</v>
      </c>
      <c r="E877">
        <v>185000</v>
      </c>
    </row>
    <row r="878" spans="1:5" x14ac:dyDescent="0.25">
      <c r="A878">
        <f>IF(ISBLANK(B878),A877,IFERROR(INDEX(Reaches!$A$7:$A$60,MATCH(B878,Reaches!$B$7:$B$60,0)),-1))</f>
        <v>44</v>
      </c>
      <c r="C878" s="1" t="str">
        <f>IFERROR(INDEX(Reaches!$G$7:$G$60,MATCH(B878,Reaches!$B$7:$B$60,0)),"")</f>
        <v/>
      </c>
      <c r="D878" s="3">
        <v>43876</v>
      </c>
      <c r="E878">
        <v>205000</v>
      </c>
    </row>
    <row r="879" spans="1:5" x14ac:dyDescent="0.25">
      <c r="A879">
        <f>IF(ISBLANK(B879),A878,IFERROR(INDEX(Reaches!$A$7:$A$60,MATCH(B879,Reaches!$B$7:$B$60,0)),-1))</f>
        <v>44</v>
      </c>
      <c r="C879" s="1" t="str">
        <f>IFERROR(INDEX(Reaches!$G$7:$G$60,MATCH(B879,Reaches!$B$7:$B$60,0)),"")</f>
        <v/>
      </c>
      <c r="D879" s="3">
        <v>45383</v>
      </c>
      <c r="E879">
        <v>220000</v>
      </c>
    </row>
    <row r="880" spans="1:5" x14ac:dyDescent="0.25">
      <c r="A880">
        <f>IF(ISBLANK(B880),A879,IFERROR(INDEX(Reaches!$A$7:$A$60,MATCH(B880,Reaches!$B$7:$B$60,0)),-1))</f>
        <v>44</v>
      </c>
      <c r="C880" s="1" t="str">
        <f>IFERROR(INDEX(Reaches!$G$7:$G$60,MATCH(B880,Reaches!$B$7:$B$60,0)),"")</f>
        <v/>
      </c>
      <c r="D880" s="3">
        <v>46832</v>
      </c>
      <c r="E880">
        <v>235000</v>
      </c>
    </row>
    <row r="881" spans="1:5" x14ac:dyDescent="0.25">
      <c r="A881">
        <f>IF(ISBLANK(B881),A880,IFERROR(INDEX(Reaches!$A$7:$A$60,MATCH(B881,Reaches!$B$7:$B$60,0)),-1))</f>
        <v>44</v>
      </c>
      <c r="C881" s="1" t="str">
        <f>IFERROR(INDEX(Reaches!$G$7:$G$60,MATCH(B881,Reaches!$B$7:$B$60,0)),"")</f>
        <v/>
      </c>
      <c r="D881" s="3">
        <v>48249</v>
      </c>
      <c r="E881">
        <v>250000</v>
      </c>
    </row>
    <row r="882" spans="1:5" x14ac:dyDescent="0.25">
      <c r="A882">
        <f>IF(ISBLANK(B882),A881,IFERROR(INDEX(Reaches!$A$7:$A$60,MATCH(B882,Reaches!$B$7:$B$60,0)),-1))</f>
        <v>44</v>
      </c>
      <c r="C882" s="1" t="str">
        <f>IFERROR(INDEX(Reaches!$G$7:$G$60,MATCH(B882,Reaches!$B$7:$B$60,0)),"")</f>
        <v/>
      </c>
      <c r="D882" s="3">
        <v>57370</v>
      </c>
      <c r="E882">
        <v>350000</v>
      </c>
    </row>
    <row r="883" spans="1:5" x14ac:dyDescent="0.25">
      <c r="A883">
        <f>IF(ISBLANK(B883),A882,IFERROR(INDEX(Reaches!$A$7:$A$60,MATCH(B883,Reaches!$B$7:$B$60,0)),-1))</f>
        <v>44</v>
      </c>
      <c r="C883" s="1" t="str">
        <f>IFERROR(INDEX(Reaches!$G$7:$G$60,MATCH(B883,Reaches!$B$7:$B$60,0)),"")</f>
        <v/>
      </c>
      <c r="D883" s="3">
        <v>69604</v>
      </c>
      <c r="E883">
        <v>500000</v>
      </c>
    </row>
    <row r="884" spans="1:5" x14ac:dyDescent="0.25">
      <c r="A884">
        <f>IF(ISBLANK(B884),A883,IFERROR(INDEX(Reaches!$A$7:$A$60,MATCH(B884,Reaches!$B$7:$B$60,0)),-1))</f>
        <v>44</v>
      </c>
      <c r="D884">
        <v>75000</v>
      </c>
      <c r="E884">
        <v>566160</v>
      </c>
    </row>
    <row r="885" spans="1:5" x14ac:dyDescent="0.25">
      <c r="A885">
        <f>IF(ISBLANK(B885),A884,IFERROR(INDEX(Reaches!$A$7:$A$60,MATCH(B885,Reaches!$B$7:$B$60,0)),-1))</f>
        <v>44</v>
      </c>
      <c r="D885">
        <v>80000</v>
      </c>
      <c r="E885">
        <v>627464</v>
      </c>
    </row>
    <row r="886" spans="1:5" x14ac:dyDescent="0.25">
      <c r="A886">
        <f>IF(ISBLANK(B886),A885,IFERROR(INDEX(Reaches!$A$7:$A$60,MATCH(B886,Reaches!$B$7:$B$60,0)),-1))</f>
        <v>44</v>
      </c>
      <c r="D886">
        <v>85000</v>
      </c>
      <c r="E886">
        <v>688769</v>
      </c>
    </row>
    <row r="887" spans="1:5" x14ac:dyDescent="0.25">
      <c r="A887">
        <f>IF(ISBLANK(B887),A886,IFERROR(INDEX(Reaches!$A$7:$A$60,MATCH(B887,Reaches!$B$7:$B$60,0)),-1))</f>
        <v>44</v>
      </c>
      <c r="D887">
        <v>90000</v>
      </c>
      <c r="E887">
        <v>750074</v>
      </c>
    </row>
    <row r="888" spans="1:5" x14ac:dyDescent="0.25">
      <c r="A888">
        <f>IF(ISBLANK(B888),A887,IFERROR(INDEX(Reaches!$A$7:$A$60,MATCH(B888,Reaches!$B$7:$B$60,0)),-1))</f>
        <v>44</v>
      </c>
      <c r="D888">
        <f>ROUND(D887+(E888-E887)*(D887-D886)/(E887-E886),0)</f>
        <v>191943</v>
      </c>
      <c r="E888">
        <v>1999999</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Readme_AboutThisFile</vt:lpstr>
      <vt:lpstr>Reaches</vt:lpstr>
      <vt:lpstr>Junctions</vt:lpstr>
      <vt:lpstr>Muskingum</vt:lpstr>
      <vt:lpstr>ModPuls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Cahill</dc:creator>
  <cp:lastModifiedBy>Cahill, Ryan J CIV USARMY CENWP (USA)</cp:lastModifiedBy>
  <dcterms:created xsi:type="dcterms:W3CDTF">2021-10-19T19:32:32Z</dcterms:created>
  <dcterms:modified xsi:type="dcterms:W3CDTF">2026-07-17T22:10:40Z</dcterms:modified>
</cp:coreProperties>
</file>